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Plan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StudyLog" sheetId="4" state="visible" r:id="rId4"/>
    <sheet xmlns:r="http://schemas.openxmlformats.org/officeDocument/2006/relationships" name="Mocks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QuestionBank" sheetId="7" state="visible" r:id="rId7"/>
    <sheet xmlns:r="http://schemas.openxmlformats.org/officeDocument/2006/relationships" name="TargetCompan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FFFFFF"/>
      <sz val="11"/>
    </font>
    <font>
      <b val="1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DailyPlan" displayName="tblDailyPlan" ref="A1:I57" headerRowCount="1">
  <autoFilter ref="A1:I57"/>
  <tableColumns count="9">
    <tableColumn id="1" name="Day"/>
    <tableColumn id="2" name="Date"/>
    <tableColumn id="3" name="Week"/>
    <tableColumn id="4" name="Focus Area"/>
    <tableColumn id="5" name="Tasks"/>
    <tableColumn id="6" name="Hours Planned"/>
    <tableColumn id="7" name="Status"/>
    <tableColumn id="8" name="Hours Actual"/>
    <tableColumn id="9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Applications" displayName="tblApplications" ref="A1:L101" headerRowCount="1">
  <autoFilter ref="A1:L101"/>
  <tableColumns count="12">
    <tableColumn id="1" name="Date Applied"/>
    <tableColumn id="2" name="Company"/>
    <tableColumn id="3" name="Role"/>
    <tableColumn id="4" name="Location"/>
    <tableColumn id="5" name="Source"/>
    <tableColumn id="6" name="Job Link"/>
    <tableColumn id="7" name="Referral?"/>
    <tableColumn id="8" name="Status"/>
    <tableColumn id="9" name="Recruiter Contact"/>
    <tableColumn id="10" name="Next Step"/>
    <tableColumn id="11" name="Next Step Date"/>
    <tableColumn id="12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tudyLog" displayName="tblStudyLog" ref="A1:I201" headerRowCount="1">
  <autoFilter ref="A1:I201"/>
  <tableColumns count="9">
    <tableColumn id="1" name="Date"/>
    <tableColumn id="2" name="Topic"/>
    <tableColumn id="3" name="Subtopic"/>
    <tableColumn id="4" name="Hours"/>
    <tableColumn id="5" name="Confidence (1-5)"/>
    <tableColumn id="6" name="SQL Solved"/>
    <tableColumn id="7" name="PySpark Solved"/>
    <tableColumn id="8" name="Resources"/>
    <tableColumn id="9" name="Notes / Gap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Mocks" displayName="tblMocks" ref="A1:G31" headerRowCount="1">
  <autoFilter ref="A1:G31"/>
  <tableColumns count="7">
    <tableColumn id="1" name="Date"/>
    <tableColumn id="2" name="Type"/>
    <tableColumn id="3" name="Platform/Partner"/>
    <tableColumn id="4" name="Score (1-5)"/>
    <tableColumn id="5" name="Strengths"/>
    <tableColumn id="6" name="Weak Areas"/>
    <tableColumn id="7" name="Action Item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Projects" displayName="tblProjects" ref="A1:G14" headerRowCount="1">
  <autoFilter ref="A1:G14"/>
  <tableColumns count="7">
    <tableColumn id="1" name="Project"/>
    <tableColumn id="2" name="Milestone / Task"/>
    <tableColumn id="3" name="Owner"/>
    <tableColumn id="4" name="Due Date"/>
    <tableColumn id="5" name="Status"/>
    <tableColumn id="6" name="GitHub URL"/>
    <tableColumn id="7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QB" displayName="tblQB" ref="A1:F55" headerRowCount="1">
  <autoFilter ref="A1:F55"/>
  <tableColumns count="6">
    <tableColumn id="1" name="Topic"/>
    <tableColumn id="2" name="Question"/>
    <tableColumn id="3" name="Difficulty"/>
    <tableColumn id="4" name="My Answer / Key Points"/>
    <tableColumn id="5" name="Confidence (1-5)"/>
    <tableColumn id="6" name="Last Revise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Targets" displayName="tblTargets" ref="A1:F21" headerRowCount="1">
  <autoFilter ref="A1:F21"/>
  <tableColumns count="6">
    <tableColumn id="1" name="Company"/>
    <tableColumn id="2" name="Tier"/>
    <tableColumn id="3" name="Role Type"/>
    <tableColumn id="4" name="Why It Fits"/>
    <tableColumn id="5" name="Referral Contact"/>
    <tableColumn id="6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4" max="4"/>
    <col width="12" customWidth="1" min="5" max="5"/>
    <col width="28" customWidth="1" min="6" max="6"/>
  </cols>
  <sheetData>
    <row r="1">
      <c r="A1" s="1" t="inlineStr">
        <is>
          <t>Interview Prep &amp; Job Hunt Tracker</t>
        </is>
      </c>
    </row>
    <row r="2">
      <c r="A2" s="2" t="inlineStr">
        <is>
          <t>Shivam More | Lead Software Engineer | Data + Agentic AI</t>
        </is>
      </c>
    </row>
    <row r="4">
      <c r="A4" s="3" t="inlineStr">
        <is>
          <t>KPI</t>
        </is>
      </c>
      <c r="B4" s="3" t="inlineStr">
        <is>
          <t>Value</t>
        </is>
      </c>
      <c r="D4" s="4" t="inlineStr">
        <is>
          <t>Weekly Application Targets</t>
        </is>
      </c>
    </row>
    <row r="5">
      <c r="A5" s="3" t="inlineStr">
        <is>
          <t>Total Applications</t>
        </is>
      </c>
      <c r="B5" s="3">
        <f>COUNTA(Applications!B2:B1000)</f>
        <v/>
      </c>
      <c r="C5" s="3" t="n"/>
      <c r="D5" t="inlineStr">
        <is>
          <t>Week</t>
        </is>
      </c>
      <c r="E5" t="inlineStr">
        <is>
          <t>Target</t>
        </is>
      </c>
      <c r="F5" t="inlineStr">
        <is>
          <t>Notes</t>
        </is>
      </c>
    </row>
    <row r="6">
      <c r="A6" s="5" t="inlineStr">
        <is>
          <t>Interviews Scheduled</t>
        </is>
      </c>
      <c r="B6" s="6">
        <f>COUNTIF(Applications!H2:H1000,"Interview")</f>
        <v/>
      </c>
      <c r="D6" t="inlineStr">
        <is>
          <t>Week 1</t>
        </is>
      </c>
      <c r="E6" s="6" t="n">
        <v>0</v>
      </c>
      <c r="F6" t="inlineStr">
        <is>
          <t>Foundations - no apply yet</t>
        </is>
      </c>
    </row>
    <row r="7">
      <c r="A7" s="5" t="inlineStr">
        <is>
          <t>Offers</t>
        </is>
      </c>
      <c r="B7" s="6">
        <f>COUNTIF(Applications!H2:H1000,"Offer")</f>
        <v/>
      </c>
      <c r="D7" t="inlineStr">
        <is>
          <t>Week 2</t>
        </is>
      </c>
      <c r="E7" s="6" t="n">
        <v>10</v>
      </c>
      <c r="F7" t="inlineStr">
        <is>
          <t>Start applying</t>
        </is>
      </c>
    </row>
    <row r="8">
      <c r="A8" s="5" t="inlineStr">
        <is>
          <t>Rejections</t>
        </is>
      </c>
      <c r="B8" s="6">
        <f>COUNTIF(Applications!H2:H1000,"Rejected")</f>
        <v/>
      </c>
      <c r="D8" t="inlineStr">
        <is>
          <t>Week 3</t>
        </is>
      </c>
      <c r="E8" s="6" t="n">
        <v>10</v>
      </c>
      <c r="F8" t="inlineStr"/>
    </row>
    <row r="9">
      <c r="A9" s="5" t="inlineStr">
        <is>
          <t>Referrals Asked</t>
        </is>
      </c>
      <c r="B9" s="6">
        <f>COUNTIF(Applications!G2:G1000,"Yes")</f>
        <v/>
      </c>
      <c r="D9" t="inlineStr">
        <is>
          <t>Week 4</t>
        </is>
      </c>
      <c r="E9" s="6" t="n">
        <v>15</v>
      </c>
      <c r="F9" t="inlineStr"/>
    </row>
    <row r="10">
      <c r="A10" s="5" t="inlineStr">
        <is>
          <t>Study Days Logged</t>
        </is>
      </c>
      <c r="B10" s="6">
        <f>COUNTA(StudyLog!B2:B1000)</f>
        <v/>
      </c>
      <c r="D10" t="inlineStr">
        <is>
          <t>Week 5</t>
        </is>
      </c>
      <c r="E10" s="6" t="n">
        <v>15</v>
      </c>
      <c r="F10" t="inlineStr"/>
    </row>
    <row r="11">
      <c r="A11" s="5" t="inlineStr">
        <is>
          <t>Study Hours (Total)</t>
        </is>
      </c>
      <c r="B11" s="6">
        <f>SUM(StudyLog!D2:D1000)</f>
        <v/>
      </c>
      <c r="D11" t="inlineStr">
        <is>
          <t>Week 6</t>
        </is>
      </c>
      <c r="E11" s="6" t="n">
        <v>15</v>
      </c>
      <c r="F11" t="inlineStr"/>
    </row>
    <row r="12">
      <c r="A12" s="5" t="inlineStr">
        <is>
          <t>Avg Confidence (1-5)</t>
        </is>
      </c>
      <c r="B12" s="7">
        <f>IFERROR(AVERAGE(StudyLog!E2:E1000),0)</f>
        <v/>
      </c>
      <c r="D12" t="inlineStr">
        <is>
          <t>Week 7</t>
        </is>
      </c>
      <c r="E12" s="6" t="n">
        <v>40</v>
      </c>
      <c r="F12" t="inlineStr">
        <is>
          <t>Heavy push</t>
        </is>
      </c>
    </row>
    <row r="13">
      <c r="A13" s="5" t="inlineStr">
        <is>
          <t>SQL Problems Solved</t>
        </is>
      </c>
      <c r="B13" s="6">
        <f>SUM(StudyLog!F2:F1000)</f>
        <v/>
      </c>
      <c r="D13" t="inlineStr">
        <is>
          <t>Week 8</t>
        </is>
      </c>
      <c r="E13" s="6" t="n">
        <v>25</v>
      </c>
      <c r="F13" t="inlineStr">
        <is>
          <t>Maintain pipeline</t>
        </is>
      </c>
    </row>
    <row r="14">
      <c r="A14" s="5" t="inlineStr">
        <is>
          <t>PySpark Problems Solved</t>
        </is>
      </c>
      <c r="B14" s="6">
        <f>SUM(StudyLog!G2:G1000)</f>
        <v/>
      </c>
    </row>
    <row r="15">
      <c r="A15" s="5" t="inlineStr">
        <is>
          <t>Mocks Completed</t>
        </is>
      </c>
      <c r="B15" s="6">
        <f>COUNTA(Mocks!B2:B1000)</f>
        <v/>
      </c>
    </row>
    <row r="16">
      <c r="A16" s="5" t="inlineStr">
        <is>
          <t>Project Tasks Done</t>
        </is>
      </c>
      <c r="B16" s="6">
        <f>COUNTIF(Projects!E2:E1000,"Done")</f>
        <v/>
      </c>
    </row>
    <row r="17">
      <c r="A17" s="5" t="inlineStr">
        <is>
          <t>Plan Days Completed</t>
        </is>
      </c>
      <c r="B17" s="6">
        <f>COUNTIF(DailyPlan!G2:G1000,"Done")</f>
        <v/>
      </c>
    </row>
    <row r="18">
      <c r="A18" s="5" t="inlineStr">
        <is>
          <t>Plan Days Total</t>
        </is>
      </c>
      <c r="B18" s="6">
        <f>COUNTA(DailyPlan!B2:B1000)</f>
        <v/>
      </c>
    </row>
    <row r="19">
      <c r="A19" s="5" t="inlineStr">
        <is>
          <t>Progress %</t>
        </is>
      </c>
      <c r="B19" s="8">
        <f>IFERROR(COUNTIF(DailyPlan!G2:G1000,"Done")/COUNTA(DailyPlan!B2:B1000),0)</f>
        <v/>
      </c>
    </row>
  </sheetData>
  <mergeCells count="3">
    <mergeCell ref="A2:F2"/>
    <mergeCell ref="A1:F1"/>
    <mergeCell ref="D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28" customWidth="1" min="4" max="4"/>
    <col width="60" customWidth="1" min="5" max="5"/>
    <col width="8" customWidth="1" min="6" max="6"/>
    <col width="14" customWidth="1" min="7" max="7"/>
    <col width="10" customWidth="1" min="8" max="8"/>
    <col width="30" customWidth="1" min="9" max="9"/>
  </cols>
  <sheetData>
    <row r="1">
      <c r="A1" s="3" t="inlineStr">
        <is>
          <t>Day</t>
        </is>
      </c>
      <c r="B1" s="3" t="inlineStr">
        <is>
          <t>Date</t>
        </is>
      </c>
      <c r="C1" s="3" t="inlineStr">
        <is>
          <t>Week</t>
        </is>
      </c>
      <c r="D1" s="3" t="inlineStr">
        <is>
          <t>Focus Area</t>
        </is>
      </c>
      <c r="E1" s="3" t="inlineStr">
        <is>
          <t>Tasks</t>
        </is>
      </c>
      <c r="F1" s="3" t="inlineStr">
        <is>
          <t>Hours Planned</t>
        </is>
      </c>
      <c r="G1" s="3" t="inlineStr">
        <is>
          <t>Status</t>
        </is>
      </c>
      <c r="H1" s="3" t="inlineStr">
        <is>
          <t>Hours Actual</t>
        </is>
      </c>
      <c r="I1" s="3" t="inlineStr">
        <is>
          <t>Notes</t>
        </is>
      </c>
    </row>
    <row r="2">
      <c r="A2" s="6" t="n">
        <v>1</v>
      </c>
      <c r="B2" s="9" t="n">
        <v>46160</v>
      </c>
      <c r="C2" s="6" t="inlineStr">
        <is>
          <t>W1</t>
        </is>
      </c>
      <c r="D2" s="10" t="inlineStr">
        <is>
          <t>Resume + LinkedIn polish</t>
        </is>
      </c>
      <c r="E2" s="10" t="inlineStr">
        <is>
          <t>Update LinkedIn title, About, Open to Work; verify resume URLs; create tracker</t>
        </is>
      </c>
      <c r="F2" s="6" t="n">
        <v>2</v>
      </c>
      <c r="G2" s="6" t="inlineStr">
        <is>
          <t>Not Started</t>
        </is>
      </c>
      <c r="H2" s="6" t="n"/>
      <c r="I2" s="10" t="inlineStr"/>
    </row>
    <row r="3">
      <c r="A3" s="6" t="n">
        <v>2</v>
      </c>
      <c r="B3" s="9" t="n">
        <v>46161</v>
      </c>
      <c r="C3" s="6" t="inlineStr">
        <is>
          <t>W1</t>
        </is>
      </c>
      <c r="D3" s="10" t="inlineStr">
        <is>
          <t>Spark architecture</t>
        </is>
      </c>
      <c r="E3" s="10" t="inlineStr">
        <is>
          <t>Driver, Executor, DAG, Stages, Shuffle; RDD vs DF; lazy eval; Learning Spark Ch1-2</t>
        </is>
      </c>
      <c r="F3" s="6" t="n">
        <v>3</v>
      </c>
      <c r="G3" s="6" t="inlineStr">
        <is>
          <t>Not Started</t>
        </is>
      </c>
      <c r="H3" s="6" t="n"/>
      <c r="I3" s="10" t="inlineStr"/>
    </row>
    <row r="4">
      <c r="A4" s="6" t="n">
        <v>3</v>
      </c>
      <c r="B4" s="9" t="n">
        <v>46162</v>
      </c>
      <c r="C4" s="6" t="inlineStr">
        <is>
          <t>W1</t>
        </is>
      </c>
      <c r="D4" s="10" t="inlineStr">
        <is>
          <t>Spark transformations &amp; actions</t>
        </is>
      </c>
      <c r="E4" s="10" t="inlineStr">
        <is>
          <t>Narrow vs wide, repartition vs coalesce, 10 PySpark snippets on Databricks CE</t>
        </is>
      </c>
      <c r="F4" s="6" t="n">
        <v>3</v>
      </c>
      <c r="G4" s="6" t="inlineStr">
        <is>
          <t>Not Started</t>
        </is>
      </c>
      <c r="H4" s="6" t="n"/>
      <c r="I4" s="10" t="inlineStr"/>
    </row>
    <row r="5">
      <c r="A5" s="6" t="n">
        <v>4</v>
      </c>
      <c r="B5" s="9" t="n">
        <v>46163</v>
      </c>
      <c r="C5" s="6" t="inlineStr">
        <is>
          <t>W1</t>
        </is>
      </c>
      <c r="D5" s="10" t="inlineStr">
        <is>
          <t>Spark joins &amp; skew</t>
        </is>
      </c>
      <c r="E5" s="10" t="inlineStr">
        <is>
          <t>Broadcast / sort-merge / shuffle hash; salting; AQE skew join</t>
        </is>
      </c>
      <c r="F5" s="6" t="n">
        <v>3</v>
      </c>
      <c r="G5" s="6" t="inlineStr">
        <is>
          <t>Not Started</t>
        </is>
      </c>
      <c r="H5" s="6" t="n"/>
      <c r="I5" s="10" t="inlineStr"/>
    </row>
    <row r="6">
      <c r="A6" s="6" t="n">
        <v>5</v>
      </c>
      <c r="B6" s="9" t="n">
        <v>46164</v>
      </c>
      <c r="C6" s="6" t="inlineStr">
        <is>
          <t>W1</t>
        </is>
      </c>
      <c r="D6" s="10" t="inlineStr">
        <is>
          <t>Catalyst, Tungsten, AQE</t>
        </is>
      </c>
      <c r="E6" s="10" t="inlineStr">
        <is>
          <t>Catalyst phases; predicate pushdown; AQE configs; read df.explain() output</t>
        </is>
      </c>
      <c r="F6" s="6" t="n">
        <v>3</v>
      </c>
      <c r="G6" s="6" t="inlineStr">
        <is>
          <t>Not Started</t>
        </is>
      </c>
      <c r="H6" s="6" t="n"/>
      <c r="I6" s="10" t="inlineStr"/>
    </row>
    <row r="7">
      <c r="A7" s="6" t="n">
        <v>6</v>
      </c>
      <c r="B7" s="9" t="n">
        <v>46165</v>
      </c>
      <c r="C7" s="6" t="inlineStr">
        <is>
          <t>W1</t>
        </is>
      </c>
      <c r="D7" s="10" t="inlineStr">
        <is>
          <t>SQL deep dive 1</t>
        </is>
      </c>
      <c r="E7" s="10" t="inlineStr">
        <is>
          <t>Window functions; 10 LeetCode SQL medium + 5 DataLemur</t>
        </is>
      </c>
      <c r="F7" s="6" t="n">
        <v>4</v>
      </c>
      <c r="G7" s="6" t="inlineStr">
        <is>
          <t>Not Started</t>
        </is>
      </c>
      <c r="H7" s="6" t="n"/>
      <c r="I7" s="10" t="inlineStr"/>
    </row>
    <row r="8">
      <c r="A8" s="6" t="n">
        <v>7</v>
      </c>
      <c r="B8" s="9" t="n">
        <v>46166</v>
      </c>
      <c r="C8" s="6" t="inlineStr">
        <is>
          <t>W1</t>
        </is>
      </c>
      <c r="D8" s="10" t="inlineStr">
        <is>
          <t>SQL deep dive 2 + review</t>
        </is>
      </c>
      <c r="E8" s="10" t="inlineStr">
        <is>
          <t>CTEs (incl recursive), subqueries vs joins; 10 SQL problems; weekly summary</t>
        </is>
      </c>
      <c r="F8" s="6" t="n">
        <v>4</v>
      </c>
      <c r="G8" s="6" t="inlineStr">
        <is>
          <t>Not Started</t>
        </is>
      </c>
      <c r="H8" s="6" t="n"/>
      <c r="I8" s="10" t="inlineStr"/>
    </row>
    <row r="9">
      <c r="A9" s="6" t="n">
        <v>8</v>
      </c>
      <c r="B9" s="9" t="n">
        <v>46167</v>
      </c>
      <c r="C9" s="6" t="inlineStr">
        <is>
          <t>W2</t>
        </is>
      </c>
      <c r="D9" s="10" t="inlineStr">
        <is>
          <t>Spark Structured Streaming</t>
        </is>
      </c>
      <c r="E9" s="10" t="inlineStr">
        <is>
          <t>Watermarks, triggers, output modes, checkpointing, exactly-once; APPLY 5 jobs</t>
        </is>
      </c>
      <c r="F9" s="6" t="n">
        <v>3</v>
      </c>
      <c r="G9" s="6" t="inlineStr">
        <is>
          <t>Not Started</t>
        </is>
      </c>
      <c r="H9" s="6" t="n"/>
      <c r="I9" s="10" t="inlineStr"/>
    </row>
    <row r="10">
      <c r="A10" s="6" t="n">
        <v>9</v>
      </c>
      <c r="B10" s="9" t="n">
        <v>46168</v>
      </c>
      <c r="C10" s="6" t="inlineStr">
        <is>
          <t>W2</t>
        </is>
      </c>
      <c r="D10" s="10" t="inlineStr">
        <is>
          <t>Spark perf tuning</t>
        </is>
      </c>
      <c r="E10" s="10" t="inlineStr">
        <is>
          <t>Executor mem, shuffle.partitions; reading Spark UI; diagnose slow job</t>
        </is>
      </c>
      <c r="F10" s="6" t="n">
        <v>3</v>
      </c>
      <c r="G10" s="6" t="inlineStr">
        <is>
          <t>Not Started</t>
        </is>
      </c>
      <c r="H10" s="6" t="n"/>
      <c r="I10" s="10" t="inlineStr"/>
    </row>
    <row r="11">
      <c r="A11" s="6" t="n">
        <v>10</v>
      </c>
      <c r="B11" s="9" t="n">
        <v>46169</v>
      </c>
      <c r="C11" s="6" t="inlineStr">
        <is>
          <t>W2</t>
        </is>
      </c>
      <c r="D11" s="10" t="inlineStr">
        <is>
          <t>Delta Lake</t>
        </is>
      </c>
      <c r="E11" s="10" t="inlineStr">
        <is>
          <t>ACID, time travel, Z-order, OPTIMIZE, VACUUM; write SCD2 MERGE</t>
        </is>
      </c>
      <c r="F11" s="6" t="n">
        <v>3</v>
      </c>
      <c r="G11" s="6" t="inlineStr">
        <is>
          <t>Not Started</t>
        </is>
      </c>
      <c r="H11" s="6" t="n"/>
      <c r="I11" s="10" t="inlineStr"/>
    </row>
    <row r="12">
      <c r="A12" s="6" t="n">
        <v>11</v>
      </c>
      <c r="B12" s="9" t="n">
        <v>46170</v>
      </c>
      <c r="C12" s="6" t="inlineStr">
        <is>
          <t>W2</t>
        </is>
      </c>
      <c r="D12" s="10" t="inlineStr">
        <is>
          <t>Snowflake 1</t>
        </is>
      </c>
      <c r="E12" s="10" t="inlineStr">
        <is>
          <t>Architecture, micro-partitions, clustering, warehouse sizing, query profile</t>
        </is>
      </c>
      <c r="F12" s="6" t="n">
        <v>3</v>
      </c>
      <c r="G12" s="6" t="inlineStr">
        <is>
          <t>Not Started</t>
        </is>
      </c>
      <c r="H12" s="6" t="n"/>
      <c r="I12" s="10" t="inlineStr"/>
    </row>
    <row r="13">
      <c r="A13" s="6" t="n">
        <v>12</v>
      </c>
      <c r="B13" s="9" t="n">
        <v>46171</v>
      </c>
      <c r="C13" s="6" t="inlineStr">
        <is>
          <t>W2</t>
        </is>
      </c>
      <c r="D13" s="10" t="inlineStr">
        <is>
          <t>Snowflake 2</t>
        </is>
      </c>
      <c r="E13" s="10" t="inlineStr">
        <is>
          <t>Streams, Tasks, Snowpipe, Time Travel, zero-copy clone; APPLY 5 jobs</t>
        </is>
      </c>
      <c r="F13" s="6" t="n">
        <v>3</v>
      </c>
      <c r="G13" s="6" t="inlineStr">
        <is>
          <t>Not Started</t>
        </is>
      </c>
      <c r="H13" s="6" t="n"/>
      <c r="I13" s="10" t="inlineStr"/>
    </row>
    <row r="14">
      <c r="A14" s="6" t="n">
        <v>13</v>
      </c>
      <c r="B14" s="9" t="n">
        <v>46172</v>
      </c>
      <c r="C14" s="6" t="inlineStr">
        <is>
          <t>W2</t>
        </is>
      </c>
      <c r="D14" s="10" t="inlineStr">
        <is>
          <t>SQL marathon</t>
        </is>
      </c>
      <c r="E14" s="10" t="inlineStr">
        <is>
          <t>Finish LeetCode SQL 50; 5 StrataScratch hard</t>
        </is>
      </c>
      <c r="F14" s="6" t="n">
        <v>4</v>
      </c>
      <c r="G14" s="6" t="inlineStr">
        <is>
          <t>Not Started</t>
        </is>
      </c>
      <c r="H14" s="6" t="n"/>
      <c r="I14" s="10" t="inlineStr"/>
    </row>
    <row r="15">
      <c r="A15" s="6" t="n">
        <v>14</v>
      </c>
      <c r="B15" s="9" t="n">
        <v>46173</v>
      </c>
      <c r="C15" s="6" t="inlineStr">
        <is>
          <t>W2</t>
        </is>
      </c>
      <c r="D15" s="10" t="inlineStr">
        <is>
          <t>Mock SQL interview</t>
        </is>
      </c>
      <c r="E15" s="10" t="inlineStr">
        <is>
          <t>Pramp / interviewing.io; review feedback; list 3 weak areas</t>
        </is>
      </c>
      <c r="F15" s="6" t="n">
        <v>3</v>
      </c>
      <c r="G15" s="6" t="inlineStr">
        <is>
          <t>Not Started</t>
        </is>
      </c>
      <c r="H15" s="6" t="n"/>
      <c r="I15" s="10" t="inlineStr"/>
    </row>
    <row r="16">
      <c r="A16" s="6" t="n">
        <v>15</v>
      </c>
      <c r="B16" s="9" t="n">
        <v>46174</v>
      </c>
      <c r="C16" s="6" t="inlineStr">
        <is>
          <t>W3</t>
        </is>
      </c>
      <c r="D16" s="10" t="inlineStr">
        <is>
          <t>Airflow fundamentals</t>
        </is>
      </c>
      <c r="E16" s="10" t="inlineStr">
        <is>
          <t>DAGs, Operators, Sensors, Hooks, XCom; build 5-task DAG</t>
        </is>
      </c>
      <c r="F16" s="6" t="n">
        <v>3</v>
      </c>
      <c r="G16" s="6" t="inlineStr">
        <is>
          <t>Not Started</t>
        </is>
      </c>
      <c r="H16" s="6" t="n"/>
      <c r="I16" s="10" t="inlineStr"/>
    </row>
    <row r="17">
      <c r="A17" s="6" t="n">
        <v>16</v>
      </c>
      <c r="B17" s="9" t="n">
        <v>46175</v>
      </c>
      <c r="C17" s="6" t="inlineStr">
        <is>
          <t>W3</t>
        </is>
      </c>
      <c r="D17" s="10" t="inlineStr">
        <is>
          <t>Airflow advanced</t>
        </is>
      </c>
      <c r="E17" s="10" t="inlineStr">
        <is>
          <t>Dynamic mapping, TaskGroups, branching, executors, idempotency; APPLY 5</t>
        </is>
      </c>
      <c r="F17" s="6" t="n">
        <v>3</v>
      </c>
      <c r="G17" s="6" t="inlineStr">
        <is>
          <t>Not Started</t>
        </is>
      </c>
      <c r="H17" s="6" t="n"/>
      <c r="I17" s="10" t="inlineStr"/>
    </row>
    <row r="18">
      <c r="A18" s="6" t="n">
        <v>17</v>
      </c>
      <c r="B18" s="9" t="n">
        <v>46176</v>
      </c>
      <c r="C18" s="6" t="inlineStr">
        <is>
          <t>W3</t>
        </is>
      </c>
      <c r="D18" s="10" t="inlineStr">
        <is>
          <t>BigQuery deep dive</t>
        </is>
      </c>
      <c r="E18" s="10" t="inlineStr">
        <is>
          <t>Partitioning vs clustering, slots, materialized views, BI Engine</t>
        </is>
      </c>
      <c r="F18" s="6" t="n">
        <v>3</v>
      </c>
      <c r="G18" s="6" t="inlineStr">
        <is>
          <t>Not Started</t>
        </is>
      </c>
      <c r="H18" s="6" t="n"/>
      <c r="I18" s="10" t="inlineStr"/>
    </row>
    <row r="19">
      <c r="A19" s="6" t="n">
        <v>18</v>
      </c>
      <c r="B19" s="9" t="n">
        <v>46177</v>
      </c>
      <c r="C19" s="6" t="inlineStr">
        <is>
          <t>W3</t>
        </is>
      </c>
      <c r="D19" s="10" t="inlineStr">
        <is>
          <t>GCP data services</t>
        </is>
      </c>
      <c r="E19" s="10" t="inlineStr">
        <is>
          <t>Dataproc vs Dataflow, Pub/Sub semantics, Composer, GCS lifecycle, Vertex AI overview</t>
        </is>
      </c>
      <c r="F19" s="6" t="n">
        <v>3</v>
      </c>
      <c r="G19" s="6" t="inlineStr">
        <is>
          <t>Not Started</t>
        </is>
      </c>
      <c r="H19" s="6" t="n"/>
      <c r="I19" s="10" t="inlineStr"/>
    </row>
    <row r="20">
      <c r="A20" s="6" t="n">
        <v>19</v>
      </c>
      <c r="B20" s="9" t="n">
        <v>46178</v>
      </c>
      <c r="C20" s="6" t="inlineStr">
        <is>
          <t>W3</t>
        </is>
      </c>
      <c r="D20" s="10" t="inlineStr">
        <is>
          <t>Azure data services</t>
        </is>
      </c>
      <c r="E20" s="10" t="inlineStr">
        <is>
          <t>ADLS Gen2, Synapse pools, ADF, Azure Databricks; APPLY 5</t>
        </is>
      </c>
      <c r="F20" s="6" t="n">
        <v>3</v>
      </c>
      <c r="G20" s="6" t="inlineStr">
        <is>
          <t>Not Started</t>
        </is>
      </c>
      <c r="H20" s="6" t="n"/>
      <c r="I20" s="10" t="inlineStr"/>
    </row>
    <row r="21">
      <c r="A21" s="6" t="n">
        <v>20</v>
      </c>
      <c r="B21" s="9" t="n">
        <v>46179</v>
      </c>
      <c r="C21" s="6" t="inlineStr">
        <is>
          <t>W3</t>
        </is>
      </c>
      <c r="D21" s="10" t="inlineStr">
        <is>
          <t>Project: Agentic RAG (Day 1)</t>
        </is>
      </c>
      <c r="E21" s="10" t="inlineStr">
        <is>
          <t>Repo setup FastAPI+LangChain+LangGraph+pgvector+Docker; ingest+embed; push to GH</t>
        </is>
      </c>
      <c r="F21" s="6" t="n">
        <v>5</v>
      </c>
      <c r="G21" s="6" t="inlineStr">
        <is>
          <t>Not Started</t>
        </is>
      </c>
      <c r="H21" s="6" t="n"/>
      <c r="I21" s="10" t="inlineStr"/>
    </row>
    <row r="22">
      <c r="A22" s="6" t="n">
        <v>21</v>
      </c>
      <c r="B22" s="9" t="n">
        <v>46180</v>
      </c>
      <c r="C22" s="6" t="inlineStr">
        <is>
          <t>W3</t>
        </is>
      </c>
      <c r="D22" s="10" t="inlineStr">
        <is>
          <t>Project: Agentic RAG (Day 2) + DDIA</t>
        </is>
      </c>
      <c r="E22" s="10" t="inlineStr">
        <is>
          <t>Retrieval + LLM answer chain; DDIA Ch3 Storage &amp; Retrieval</t>
        </is>
      </c>
      <c r="F22" s="6" t="n">
        <v>5</v>
      </c>
      <c r="G22" s="6" t="inlineStr">
        <is>
          <t>Not Started</t>
        </is>
      </c>
      <c r="H22" s="6" t="n"/>
      <c r="I22" s="10" t="inlineStr"/>
    </row>
    <row r="23">
      <c r="A23" s="6" t="n">
        <v>22</v>
      </c>
      <c r="B23" s="9" t="n">
        <v>46181</v>
      </c>
      <c r="C23" s="6" t="inlineStr">
        <is>
          <t>W4</t>
        </is>
      </c>
      <c r="D23" s="10" t="inlineStr">
        <is>
          <t>System design framework</t>
        </is>
      </c>
      <c r="E23" s="10" t="inlineStr">
        <is>
          <t>Requirements -&gt; scale -&gt; high-level -&gt; deep dives -&gt; tradeoffs; watch 2 videos; APPLY 5</t>
        </is>
      </c>
      <c r="F23" s="6" t="n">
        <v>3</v>
      </c>
      <c r="G23" s="6" t="inlineStr">
        <is>
          <t>Not Started</t>
        </is>
      </c>
      <c r="H23" s="6" t="n"/>
      <c r="I23" s="10" t="inlineStr"/>
    </row>
    <row r="24">
      <c r="A24" s="6" t="n">
        <v>23</v>
      </c>
      <c r="B24" s="9" t="n">
        <v>46182</v>
      </c>
      <c r="C24" s="6" t="inlineStr">
        <is>
          <t>W4</t>
        </is>
      </c>
      <c r="D24" s="10" t="inlineStr">
        <is>
          <t>Design: Real-time analytics</t>
        </is>
      </c>
      <c r="E24" s="10" t="inlineStr">
        <is>
          <t>Kafka -&gt; Spark Streaming -&gt; Delta -&gt; BI; whiteboard with tradeoffs</t>
        </is>
      </c>
      <c r="F24" s="6" t="n">
        <v>3</v>
      </c>
      <c r="G24" s="6" t="inlineStr">
        <is>
          <t>Not Started</t>
        </is>
      </c>
      <c r="H24" s="6" t="n"/>
      <c r="I24" s="10" t="inlineStr"/>
    </row>
    <row r="25">
      <c r="A25" s="6" t="n">
        <v>24</v>
      </c>
      <c r="B25" s="9" t="n">
        <v>46183</v>
      </c>
      <c r="C25" s="6" t="inlineStr">
        <is>
          <t>W4</t>
        </is>
      </c>
      <c r="D25" s="10" t="inlineStr">
        <is>
          <t>Design: Lakehouse</t>
        </is>
      </c>
      <c r="E25" s="10" t="inlineStr">
        <is>
          <t>Bronze/Silver/Gold, Unity Catalog, governance, schema evolution, CDC</t>
        </is>
      </c>
      <c r="F25" s="6" t="n">
        <v>3</v>
      </c>
      <c r="G25" s="6" t="inlineStr">
        <is>
          <t>Not Started</t>
        </is>
      </c>
      <c r="H25" s="6" t="n"/>
      <c r="I25" s="10" t="inlineStr"/>
    </row>
    <row r="26">
      <c r="A26" s="6" t="n">
        <v>25</v>
      </c>
      <c r="B26" s="9" t="n">
        <v>46184</v>
      </c>
      <c r="C26" s="6" t="inlineStr">
        <is>
          <t>W4</t>
        </is>
      </c>
      <c r="D26" s="10" t="inlineStr">
        <is>
          <t>LLM foundations</t>
        </is>
      </c>
      <c r="E26" s="10" t="inlineStr">
        <is>
          <t>Transformers intuition, embeddings, temperature/top-p, CoT/ReAct; APPLY 5</t>
        </is>
      </c>
      <c r="F26" s="6" t="n">
        <v>3</v>
      </c>
      <c r="G26" s="6" t="inlineStr">
        <is>
          <t>Not Started</t>
        </is>
      </c>
      <c r="H26" s="6" t="n"/>
      <c r="I26" s="10" t="inlineStr"/>
    </row>
    <row r="27">
      <c r="A27" s="6" t="n">
        <v>26</v>
      </c>
      <c r="B27" s="9" t="n">
        <v>46185</v>
      </c>
      <c r="C27" s="6" t="inlineStr">
        <is>
          <t>W4</t>
        </is>
      </c>
      <c r="D27" s="10" t="inlineStr">
        <is>
          <t>RAG architecture deep dive</t>
        </is>
      </c>
      <c r="E27" s="10" t="inlineStr">
        <is>
          <t>Chunking, embeddings, vector DBs comparison, hybrid retrieval, rerank</t>
        </is>
      </c>
      <c r="F27" s="6" t="n">
        <v>3</v>
      </c>
      <c r="G27" s="6" t="inlineStr">
        <is>
          <t>Not Started</t>
        </is>
      </c>
      <c r="H27" s="6" t="n"/>
      <c r="I27" s="10" t="inlineStr"/>
    </row>
    <row r="28">
      <c r="A28" s="6" t="n">
        <v>27</v>
      </c>
      <c r="B28" s="9" t="n">
        <v>46186</v>
      </c>
      <c r="C28" s="6" t="inlineStr">
        <is>
          <t>W4</t>
        </is>
      </c>
      <c r="D28" s="10" t="inlineStr">
        <is>
          <t>Project: Agentic RAG (Day 3)</t>
        </is>
      </c>
      <c r="E28" s="10" t="inlineStr">
        <is>
          <t>LangGraph stateful graph (router/retriever/grader/generator); SQL tool; LangSmith</t>
        </is>
      </c>
      <c r="F28" s="6" t="n">
        <v>5</v>
      </c>
      <c r="G28" s="6" t="inlineStr">
        <is>
          <t>Not Started</t>
        </is>
      </c>
      <c r="H28" s="6" t="n"/>
      <c r="I28" s="10" t="inlineStr"/>
    </row>
    <row r="29">
      <c r="A29" s="6" t="n">
        <v>28</v>
      </c>
      <c r="B29" s="9" t="n">
        <v>46187</v>
      </c>
      <c r="C29" s="6" t="inlineStr">
        <is>
          <t>W4</t>
        </is>
      </c>
      <c r="D29" s="10" t="inlineStr">
        <is>
          <t>Project: Agentic RAG (Day 4) + DDIA</t>
        </is>
      </c>
      <c r="E29" s="10" t="inlineStr">
        <is>
          <t>RAGAS evals; README diagram (Mermaid); DDIA Ch5 Replication</t>
        </is>
      </c>
      <c r="F29" s="6" t="n">
        <v>5</v>
      </c>
      <c r="G29" s="6" t="inlineStr">
        <is>
          <t>Not Started</t>
        </is>
      </c>
      <c r="H29" s="6" t="n"/>
      <c r="I29" s="10" t="inlineStr"/>
    </row>
    <row r="30">
      <c r="A30" s="6" t="n">
        <v>29</v>
      </c>
      <c r="B30" s="9" t="n">
        <v>46188</v>
      </c>
      <c r="C30" s="6" t="inlineStr">
        <is>
          <t>W5</t>
        </is>
      </c>
      <c r="D30" s="10" t="inlineStr">
        <is>
          <t>Agent patterns</t>
        </is>
      </c>
      <c r="E30" s="10" t="inlineStr">
        <is>
          <t>ReAct, Plan-and-Execute, Reflexion, Multi-agent; Anthropic Building Effective Agents; APPLY 5</t>
        </is>
      </c>
      <c r="F30" s="6" t="n">
        <v>3</v>
      </c>
      <c r="G30" s="6" t="inlineStr">
        <is>
          <t>Not Started</t>
        </is>
      </c>
      <c r="H30" s="6" t="n"/>
      <c r="I30" s="10" t="inlineStr"/>
    </row>
    <row r="31">
      <c r="A31" s="6" t="n">
        <v>30</v>
      </c>
      <c r="B31" s="9" t="n">
        <v>46189</v>
      </c>
      <c r="C31" s="6" t="inlineStr">
        <is>
          <t>W5</t>
        </is>
      </c>
      <c r="D31" s="10" t="inlineStr">
        <is>
          <t>Tool calling</t>
        </is>
      </c>
      <c r="E31" s="10" t="inlineStr">
        <is>
          <t>OpenAI function calling, Anthropic tool use; build ReAct loop from scratch</t>
        </is>
      </c>
      <c r="F31" s="6" t="n">
        <v>3</v>
      </c>
      <c r="G31" s="6" t="inlineStr">
        <is>
          <t>Not Started</t>
        </is>
      </c>
      <c r="H31" s="6" t="n"/>
      <c r="I31" s="10" t="inlineStr"/>
    </row>
    <row r="32">
      <c r="A32" s="6" t="n">
        <v>31</v>
      </c>
      <c r="B32" s="9" t="n">
        <v>46190</v>
      </c>
      <c r="C32" s="6" t="inlineStr">
        <is>
          <t>W5</t>
        </is>
      </c>
      <c r="D32" s="10" t="inlineStr">
        <is>
          <t>MCP (Model Context Protocol)</t>
        </is>
      </c>
      <c r="E32" s="10" t="inlineStr">
        <is>
          <t>Read spec; build tiny MCP server exposing one tool</t>
        </is>
      </c>
      <c r="F32" s="6" t="n">
        <v>3</v>
      </c>
      <c r="G32" s="6" t="inlineStr">
        <is>
          <t>Not Started</t>
        </is>
      </c>
      <c r="H32" s="6" t="n"/>
      <c r="I32" s="10" t="inlineStr"/>
    </row>
    <row r="33">
      <c r="A33" s="6" t="n">
        <v>32</v>
      </c>
      <c r="B33" s="9" t="n">
        <v>46191</v>
      </c>
      <c r="C33" s="6" t="inlineStr">
        <is>
          <t>W5</t>
        </is>
      </c>
      <c r="D33" s="10" t="inlineStr">
        <is>
          <t>Guardrails + LLM Ops</t>
        </is>
      </c>
      <c r="E33" s="10" t="inlineStr">
        <is>
          <t>Input/output validation, PII, jailbreak defense; LangSmith/LangFuse traces; APPLY 5</t>
        </is>
      </c>
      <c r="F33" s="6" t="n">
        <v>3</v>
      </c>
      <c r="G33" s="6" t="inlineStr">
        <is>
          <t>Not Started</t>
        </is>
      </c>
      <c r="H33" s="6" t="n"/>
      <c r="I33" s="10" t="inlineStr"/>
    </row>
    <row r="34">
      <c r="A34" s="6" t="n">
        <v>33</v>
      </c>
      <c r="B34" s="9" t="n">
        <v>46192</v>
      </c>
      <c r="C34" s="6" t="inlineStr">
        <is>
          <t>W5</t>
        </is>
      </c>
      <c r="D34" s="10" t="inlineStr">
        <is>
          <t>Project: Self-Healing Pipeline (Day 5)</t>
        </is>
      </c>
      <c r="E34" s="10" t="inlineStr">
        <is>
          <t>LangGraph agent polling Airflow REST; tools: logs/classify/runbook/jira (mocked)</t>
        </is>
      </c>
      <c r="F34" s="6" t="n">
        <v>5</v>
      </c>
      <c r="G34" s="6" t="inlineStr">
        <is>
          <t>Not Started</t>
        </is>
      </c>
      <c r="H34" s="6" t="n"/>
      <c r="I34" s="10" t="inlineStr"/>
    </row>
    <row r="35">
      <c r="A35" s="6" t="n">
        <v>34</v>
      </c>
      <c r="B35" s="9" t="n">
        <v>46193</v>
      </c>
      <c r="C35" s="6" t="inlineStr">
        <is>
          <t>W5</t>
        </is>
      </c>
      <c r="D35" s="10" t="inlineStr">
        <is>
          <t>Project: Self-Healing Pipeline (Day 6)</t>
        </is>
      </c>
      <c r="E35" s="10" t="inlineStr">
        <is>
          <t>Eval suite (10 scenarios); 2-min Loom demo; polish READMEs</t>
        </is>
      </c>
      <c r="F35" s="6" t="n">
        <v>5</v>
      </c>
      <c r="G35" s="6" t="inlineStr">
        <is>
          <t>Not Started</t>
        </is>
      </c>
      <c r="H35" s="6" t="n"/>
      <c r="I35" s="10" t="inlineStr"/>
    </row>
    <row r="36">
      <c r="A36" s="6" t="n">
        <v>35</v>
      </c>
      <c r="B36" s="9" t="n">
        <v>46194</v>
      </c>
      <c r="C36" s="6" t="inlineStr">
        <is>
          <t>W5</t>
        </is>
      </c>
      <c r="D36" s="10" t="inlineStr">
        <is>
          <t>Behavioral prep</t>
        </is>
      </c>
      <c r="E36" s="10" t="inlineStr">
        <is>
          <t>Write 8 STAR stories: 20% cost, 40% MTTR, 3x throughput, conflict, mentor, incident, deadline, learn</t>
        </is>
      </c>
      <c r="F36" s="6" t="n">
        <v>3</v>
      </c>
      <c r="G36" s="6" t="inlineStr">
        <is>
          <t>Not Started</t>
        </is>
      </c>
      <c r="H36" s="6" t="n"/>
      <c r="I36" s="10" t="inlineStr"/>
    </row>
    <row r="37">
      <c r="A37" s="6" t="n">
        <v>36</v>
      </c>
      <c r="B37" s="9" t="n">
        <v>46195</v>
      </c>
      <c r="C37" s="6" t="inlineStr">
        <is>
          <t>W6</t>
        </is>
      </c>
      <c r="D37" s="10" t="inlineStr">
        <is>
          <t>Design: Multi-tenant RAG platform</t>
        </is>
      </c>
      <c r="E37" s="10" t="inlineStr">
        <is>
          <t>50 tenants, isolation, eval loop, cost controls; APPLY 5</t>
        </is>
      </c>
      <c r="F37" s="6" t="n">
        <v>3</v>
      </c>
      <c r="G37" s="6" t="inlineStr">
        <is>
          <t>Not Started</t>
        </is>
      </c>
      <c r="H37" s="6" t="n"/>
      <c r="I37" s="10" t="inlineStr"/>
    </row>
    <row r="38">
      <c r="A38" s="6" t="n">
        <v>37</v>
      </c>
      <c r="B38" s="9" t="n">
        <v>46196</v>
      </c>
      <c r="C38" s="6" t="inlineStr">
        <is>
          <t>W6</t>
        </is>
      </c>
      <c r="D38" s="10" t="inlineStr">
        <is>
          <t>Design: Agentic L1 support auto-resolve</t>
        </is>
      </c>
      <c r="E38" s="10" t="inlineStr">
        <is>
          <t>End-to-end flow, eval, human-in-loop, fallback; bridge to your project</t>
        </is>
      </c>
      <c r="F38" s="6" t="n">
        <v>3</v>
      </c>
      <c r="G38" s="6" t="inlineStr">
        <is>
          <t>Not Started</t>
        </is>
      </c>
      <c r="H38" s="6" t="n"/>
      <c r="I38" s="10" t="inlineStr"/>
    </row>
    <row r="39">
      <c r="A39" s="6" t="n">
        <v>38</v>
      </c>
      <c r="B39" s="9" t="n">
        <v>46197</v>
      </c>
      <c r="C39" s="6" t="inlineStr">
        <is>
          <t>W6</t>
        </is>
      </c>
      <c r="D39" s="10" t="inlineStr">
        <is>
          <t>Design: CDC at scale</t>
        </is>
      </c>
      <c r="E39" s="10" t="inlineStr">
        <is>
          <t>Debezium -&gt; Kafka -&gt; Spark Streaming -&gt; Delta; schema evolution; exactly-once</t>
        </is>
      </c>
      <c r="F39" s="6" t="n">
        <v>3</v>
      </c>
      <c r="G39" s="6" t="inlineStr">
        <is>
          <t>Not Started</t>
        </is>
      </c>
      <c r="H39" s="6" t="n"/>
      <c r="I39" s="10" t="inlineStr"/>
    </row>
    <row r="40">
      <c r="A40" s="6" t="n">
        <v>39</v>
      </c>
      <c r="B40" s="9" t="n">
        <v>46198</v>
      </c>
      <c r="C40" s="6" t="inlineStr">
        <is>
          <t>W6</t>
        </is>
      </c>
      <c r="D40" s="10" t="inlineStr">
        <is>
          <t>Design: Cost optimization war story</t>
        </is>
      </c>
      <c r="E40" s="10" t="inlineStr">
        <is>
          <t>$50K/mo Databricks workload cut 40% - write the plan; APPLY 5</t>
        </is>
      </c>
      <c r="F40" s="6" t="n">
        <v>3</v>
      </c>
      <c r="G40" s="6" t="inlineStr">
        <is>
          <t>Not Started</t>
        </is>
      </c>
      <c r="H40" s="6" t="n"/>
      <c r="I40" s="10" t="inlineStr"/>
    </row>
    <row r="41">
      <c r="A41" s="6" t="n">
        <v>40</v>
      </c>
      <c r="B41" s="9" t="n">
        <v>46199</v>
      </c>
      <c r="C41" s="6" t="inlineStr">
        <is>
          <t>W6</t>
        </is>
      </c>
      <c r="D41" s="10" t="inlineStr">
        <is>
          <t>Mock 1: PySpark + SQL</t>
        </is>
      </c>
      <c r="E41" s="10" t="inlineStr">
        <is>
          <t>Pramp/peer; record 3 weak spots</t>
        </is>
      </c>
      <c r="F41" s="6" t="n">
        <v>3</v>
      </c>
      <c r="G41" s="6" t="inlineStr">
        <is>
          <t>Not Started</t>
        </is>
      </c>
      <c r="H41" s="6" t="n"/>
      <c r="I41" s="10" t="inlineStr"/>
    </row>
    <row r="42">
      <c r="A42" s="6" t="n">
        <v>41</v>
      </c>
      <c r="B42" s="9" t="n">
        <v>46200</v>
      </c>
      <c r="C42" s="6" t="inlineStr">
        <is>
          <t>W6</t>
        </is>
      </c>
      <c r="D42" s="10" t="inlineStr">
        <is>
          <t>Mock 2: System Design</t>
        </is>
      </c>
      <c r="E42" s="10" t="inlineStr">
        <is>
          <t>interviewing.io/peer; revisit weak spots</t>
        </is>
      </c>
      <c r="F42" s="6" t="n">
        <v>3</v>
      </c>
      <c r="G42" s="6" t="inlineStr">
        <is>
          <t>Not Started</t>
        </is>
      </c>
      <c r="H42" s="6" t="n"/>
      <c r="I42" s="10" t="inlineStr"/>
    </row>
    <row r="43">
      <c r="A43" s="6" t="n">
        <v>42</v>
      </c>
      <c r="B43" s="9" t="n">
        <v>46201</v>
      </c>
      <c r="C43" s="6" t="inlineStr">
        <is>
          <t>W6</t>
        </is>
      </c>
      <c r="D43" s="10" t="inlineStr">
        <is>
          <t>Mock 3: Agentic AI / GenAI</t>
        </is>
      </c>
      <c r="E43" s="10" t="inlineStr">
        <is>
          <t>Walk through both projects; DDIA Ch11 Stream Processing skim</t>
        </is>
      </c>
      <c r="F43" s="6" t="n">
        <v>3</v>
      </c>
      <c r="G43" s="6" t="inlineStr">
        <is>
          <t>Not Started</t>
        </is>
      </c>
      <c r="H43" s="6" t="n"/>
      <c r="I43" s="10" t="inlineStr"/>
    </row>
    <row r="44">
      <c r="A44" s="6" t="n">
        <v>43</v>
      </c>
      <c r="B44" s="9" t="n">
        <v>46202</v>
      </c>
      <c r="C44" s="6" t="inlineStr">
        <is>
          <t>W7</t>
        </is>
      </c>
      <c r="D44" s="10" t="inlineStr">
        <is>
          <t>Behavioral mock + Lead stories</t>
        </is>
      </c>
      <c r="E44" s="10" t="inlineStr">
        <is>
          <t>Practice all 8 STAR stories with peer; APPLY 10</t>
        </is>
      </c>
      <c r="F44" s="6" t="n">
        <v>3</v>
      </c>
      <c r="G44" s="6" t="inlineStr">
        <is>
          <t>Not Started</t>
        </is>
      </c>
      <c r="H44" s="6" t="n"/>
      <c r="I44" s="10" t="inlineStr"/>
    </row>
    <row r="45">
      <c r="A45" s="6" t="n">
        <v>44</v>
      </c>
      <c r="B45" s="9" t="n">
        <v>46203</v>
      </c>
      <c r="C45" s="6" t="inlineStr">
        <is>
          <t>W7</t>
        </is>
      </c>
      <c r="D45" s="10" t="inlineStr">
        <is>
          <t>Rapid-fire revision</t>
        </is>
      </c>
      <c r="E45" s="10" t="inlineStr">
        <is>
          <t>50 flashcards Spark/SQL/Snowflake/Airflow/GenAI; weak spots; APPLY 10</t>
        </is>
      </c>
      <c r="F45" s="6" t="n">
        <v>3</v>
      </c>
      <c r="G45" s="6" t="inlineStr">
        <is>
          <t>Not Started</t>
        </is>
      </c>
      <c r="H45" s="6" t="n"/>
      <c r="I45" s="10" t="inlineStr"/>
    </row>
    <row r="46">
      <c r="A46" s="6" t="n">
        <v>45</v>
      </c>
      <c r="B46" s="9" t="n">
        <v>46204</v>
      </c>
      <c r="C46" s="6" t="inlineStr">
        <is>
          <t>W7</t>
        </is>
      </c>
      <c r="D46" s="10" t="inlineStr">
        <is>
          <t>Coding rust-off</t>
        </is>
      </c>
      <c r="E46" s="10" t="inlineStr">
        <is>
          <t>10 timed SQL (15min ea) + 5 PySpark; APPLY 10</t>
        </is>
      </c>
      <c r="F46" s="6" t="n">
        <v>4</v>
      </c>
      <c r="G46" s="6" t="inlineStr">
        <is>
          <t>Not Started</t>
        </is>
      </c>
      <c r="H46" s="6" t="n"/>
      <c r="I46" s="10" t="inlineStr"/>
    </row>
    <row r="47">
      <c r="A47" s="6" t="n">
        <v>46</v>
      </c>
      <c r="B47" s="9" t="n">
        <v>46205</v>
      </c>
      <c r="C47" s="6" t="inlineStr">
        <is>
          <t>W7</t>
        </is>
      </c>
      <c r="D47" s="10" t="inlineStr">
        <is>
          <t>Cloud cert refresh</t>
        </is>
      </c>
      <c r="E47" s="10" t="inlineStr">
        <is>
          <t>Review GCP PDE; consider booking Databricks DE Pro; APPLY 10</t>
        </is>
      </c>
      <c r="F47" s="6" t="n">
        <v>3</v>
      </c>
      <c r="G47" s="6" t="inlineStr">
        <is>
          <t>Not Started</t>
        </is>
      </c>
      <c r="H47" s="6" t="n"/>
      <c r="I47" s="10" t="inlineStr"/>
    </row>
    <row r="48">
      <c r="A48" s="6" t="n">
        <v>47</v>
      </c>
      <c r="B48" s="9" t="n">
        <v>46206</v>
      </c>
      <c r="C48" s="6" t="inlineStr">
        <is>
          <t>W7</t>
        </is>
      </c>
      <c r="D48" s="10" t="inlineStr">
        <is>
          <t>LinkedIn content push</t>
        </is>
      </c>
      <c r="E48" s="10" t="inlineStr">
        <is>
          <t>Post Agentic RAG architecture write-up; r/dataengineering showcase; DM 5 recruiters</t>
        </is>
      </c>
      <c r="F48" s="6" t="n">
        <v>3</v>
      </c>
      <c r="G48" s="6" t="inlineStr">
        <is>
          <t>Not Started</t>
        </is>
      </c>
      <c r="H48" s="6" t="n"/>
      <c r="I48" s="10" t="inlineStr"/>
    </row>
    <row r="49">
      <c r="A49" s="6" t="n">
        <v>48</v>
      </c>
      <c r="B49" s="9" t="n">
        <v>46207</v>
      </c>
      <c r="C49" s="6" t="inlineStr">
        <is>
          <t>W7</t>
        </is>
      </c>
      <c r="D49" s="10" t="inlineStr">
        <is>
          <t>Mock 4: Full loop</t>
        </is>
      </c>
      <c r="E49" s="10" t="inlineStr">
        <is>
          <t>4 back-to-back rounds with peer (SQL, Spark, design, behavioral)</t>
        </is>
      </c>
      <c r="F49" s="6" t="n">
        <v>5</v>
      </c>
      <c r="G49" s="6" t="inlineStr">
        <is>
          <t>Not Started</t>
        </is>
      </c>
      <c r="H49" s="6" t="n"/>
      <c r="I49" s="10" t="inlineStr"/>
    </row>
    <row r="50">
      <c r="A50" s="6" t="n">
        <v>49</v>
      </c>
      <c r="B50" s="9" t="n">
        <v>46208</v>
      </c>
      <c r="C50" s="6" t="inlineStr">
        <is>
          <t>W7</t>
        </is>
      </c>
      <c r="D50" s="10" t="inlineStr">
        <is>
          <t>Rest + visualization</t>
        </is>
      </c>
      <c r="E50" s="10" t="inlineStr">
        <is>
          <t>Half-day off; calm review of STAR + notes</t>
        </is>
      </c>
      <c r="F50" s="6" t="n">
        <v>2</v>
      </c>
      <c r="G50" s="6" t="inlineStr">
        <is>
          <t>Not Started</t>
        </is>
      </c>
      <c r="H50" s="6" t="n"/>
      <c r="I50" s="10" t="inlineStr"/>
    </row>
    <row r="51">
      <c r="A51" s="6" t="n">
        <v>50</v>
      </c>
      <c r="B51" s="9" t="n">
        <v>46209</v>
      </c>
      <c r="C51" s="6" t="inlineStr">
        <is>
          <t>W8</t>
        </is>
      </c>
      <c r="D51" s="10" t="inlineStr">
        <is>
          <t>Interview day</t>
        </is>
      </c>
      <c r="E51" s="10" t="inlineStr">
        <is>
          <t>Morning revise topic; afternoon interview; evening notes + follow-up</t>
        </is>
      </c>
      <c r="F51" s="6" t="n">
        <v>4</v>
      </c>
      <c r="G51" s="6" t="inlineStr">
        <is>
          <t>Not Started</t>
        </is>
      </c>
      <c r="H51" s="6" t="n"/>
      <c r="I51" s="10" t="inlineStr"/>
    </row>
    <row r="52">
      <c r="A52" s="6" t="n">
        <v>51</v>
      </c>
      <c r="B52" s="9" t="n">
        <v>46210</v>
      </c>
      <c r="C52" s="6" t="inlineStr">
        <is>
          <t>W8</t>
        </is>
      </c>
      <c r="D52" s="10" t="inlineStr">
        <is>
          <t>Interview day</t>
        </is>
      </c>
      <c r="E52" s="10" t="inlineStr">
        <is>
          <t>Morning revise topic; afternoon interview; evening notes + follow-up</t>
        </is>
      </c>
      <c r="F52" s="6" t="n">
        <v>4</v>
      </c>
      <c r="G52" s="6" t="inlineStr">
        <is>
          <t>Not Started</t>
        </is>
      </c>
      <c r="H52" s="6" t="n"/>
      <c r="I52" s="10" t="inlineStr"/>
    </row>
    <row r="53">
      <c r="A53" s="6" t="n">
        <v>52</v>
      </c>
      <c r="B53" s="9" t="n">
        <v>46211</v>
      </c>
      <c r="C53" s="6" t="inlineStr">
        <is>
          <t>W8</t>
        </is>
      </c>
      <c r="D53" s="10" t="inlineStr">
        <is>
          <t>Interview day</t>
        </is>
      </c>
      <c r="E53" s="10" t="inlineStr">
        <is>
          <t>Morning revise topic; afternoon interview; evening notes + follow-up</t>
        </is>
      </c>
      <c r="F53" s="6" t="n">
        <v>4</v>
      </c>
      <c r="G53" s="6" t="inlineStr">
        <is>
          <t>Not Started</t>
        </is>
      </c>
      <c r="H53" s="6" t="n"/>
      <c r="I53" s="10" t="inlineStr"/>
    </row>
    <row r="54">
      <c r="A54" s="6" t="n">
        <v>53</v>
      </c>
      <c r="B54" s="9" t="n">
        <v>46212</v>
      </c>
      <c r="C54" s="6" t="inlineStr">
        <is>
          <t>W8</t>
        </is>
      </c>
      <c r="D54" s="10" t="inlineStr">
        <is>
          <t>Interview day</t>
        </is>
      </c>
      <c r="E54" s="10" t="inlineStr">
        <is>
          <t>Morning revise topic; afternoon interview; evening notes + follow-up</t>
        </is>
      </c>
      <c r="F54" s="6" t="n">
        <v>4</v>
      </c>
      <c r="G54" s="6" t="inlineStr">
        <is>
          <t>Not Started</t>
        </is>
      </c>
      <c r="H54" s="6" t="n"/>
      <c r="I54" s="10" t="inlineStr"/>
    </row>
    <row r="55">
      <c r="A55" s="6" t="n">
        <v>54</v>
      </c>
      <c r="B55" s="9" t="n">
        <v>46213</v>
      </c>
      <c r="C55" s="6" t="inlineStr">
        <is>
          <t>W8</t>
        </is>
      </c>
      <c r="D55" s="10" t="inlineStr">
        <is>
          <t>Interview day</t>
        </is>
      </c>
      <c r="E55" s="10" t="inlineStr">
        <is>
          <t>Morning revise topic; afternoon interview; evening notes + follow-up</t>
        </is>
      </c>
      <c r="F55" s="6" t="n">
        <v>4</v>
      </c>
      <c r="G55" s="6" t="inlineStr">
        <is>
          <t>Not Started</t>
        </is>
      </c>
      <c r="H55" s="6" t="n"/>
      <c r="I55" s="10" t="inlineStr"/>
    </row>
    <row r="56">
      <c r="A56" s="6" t="n">
        <v>55</v>
      </c>
      <c r="B56" s="9" t="n">
        <v>46214</v>
      </c>
      <c r="C56" s="6" t="inlineStr">
        <is>
          <t>W8</t>
        </is>
      </c>
      <c r="D56" s="10" t="inlineStr">
        <is>
          <t>Interview day + apply</t>
        </is>
      </c>
      <c r="E56" s="10" t="inlineStr">
        <is>
          <t>Maintain pipeline: 5 new applications, 1 SQL + 1 PySpark practice</t>
        </is>
      </c>
      <c r="F56" s="6" t="n">
        <v>4</v>
      </c>
      <c r="G56" s="6" t="inlineStr">
        <is>
          <t>Not Started</t>
        </is>
      </c>
      <c r="H56" s="6" t="n"/>
      <c r="I56" s="10" t="inlineStr"/>
    </row>
    <row r="57">
      <c r="A57" s="6" t="n">
        <v>56</v>
      </c>
      <c r="B57" s="9" t="n">
        <v>46215</v>
      </c>
      <c r="C57" s="6" t="inlineStr">
        <is>
          <t>W8</t>
        </is>
      </c>
      <c r="D57" s="10" t="inlineStr">
        <is>
          <t>Negotiation + decision</t>
        </is>
      </c>
      <c r="E57" s="10" t="inlineStr">
        <is>
          <t>Compare offers on comp / scope / GenAI exposure / learning rate</t>
        </is>
      </c>
      <c r="F57" s="6" t="n">
        <v>3</v>
      </c>
      <c r="G57" s="6" t="inlineStr">
        <is>
          <t>Not Started</t>
        </is>
      </c>
      <c r="H57" s="6" t="n"/>
      <c r="I57" s="10" t="inlineStr"/>
    </row>
  </sheetData>
  <conditionalFormatting sqref="G2:G5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"Skipped"</formula>
    </cfRule>
  </conditionalFormatting>
  <dataValidations count="1">
    <dataValidation sqref="G2:G57" showDropDown="0" showInputMessage="0" showErrorMessage="0" allowBlank="1" type="list">
      <formula1>"Not Started,In Progress,Done,Skipped"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4" customWidth="1" min="5" max="5"/>
    <col width="30" customWidth="1" min="6" max="6"/>
    <col width="10" customWidth="1" min="7" max="7"/>
    <col width="14" customWidth="1" min="8" max="8"/>
    <col width="22" customWidth="1" min="9" max="9"/>
    <col width="22" customWidth="1" min="10" max="10"/>
    <col width="12" customWidth="1" min="11" max="11"/>
    <col width="30" customWidth="1" min="12" max="12"/>
  </cols>
  <sheetData>
    <row r="1">
      <c r="A1" s="3" t="inlineStr">
        <is>
          <t>Date Applied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Location</t>
        </is>
      </c>
      <c r="E1" s="3" t="inlineStr">
        <is>
          <t>Source</t>
        </is>
      </c>
      <c r="F1" s="3" t="inlineStr">
        <is>
          <t>Job Link</t>
        </is>
      </c>
      <c r="G1" s="3" t="inlineStr">
        <is>
          <t>Referral?</t>
        </is>
      </c>
      <c r="H1" s="3" t="inlineStr">
        <is>
          <t>Status</t>
        </is>
      </c>
      <c r="I1" s="3" t="inlineStr">
        <is>
          <t>Recruiter Contact</t>
        </is>
      </c>
      <c r="J1" s="3" t="inlineStr">
        <is>
          <t>Next Step</t>
        </is>
      </c>
      <c r="K1" s="3" t="inlineStr">
        <is>
          <t>Next Step Date</t>
        </is>
      </c>
      <c r="L1" s="3" t="inlineStr">
        <is>
          <t>Notes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</sheetData>
  <conditionalFormatting sqref="H2:H1000">
    <cfRule type="cellIs" priority="1" operator="equal" dxfId="0">
      <formula>"Offer"</formula>
    </cfRule>
    <cfRule type="cellIs" priority="2" operator="equal" dxfId="1">
      <formula>"Interview"</formula>
    </cfRule>
    <cfRule type="cellIs" priority="3" operator="equal" dxfId="2">
      <formula>"Rejected"</formula>
    </cfRule>
  </conditionalFormatting>
  <dataValidations count="3">
    <dataValidation sqref="E2:E1000" showDropDown="0" showInputMessage="0" showErrorMessage="0" allowBlank="1" type="list">
      <formula1>"LinkedIn,Naukri,Instahyre,Hirist,Wellfound,Referral,Recruiter,Company Site,Other"</formula1>
    </dataValidation>
    <dataValidation sqref="G2:G1000" showDropDown="0" showInputMessage="0" showErrorMessage="0" allowBlank="1" type="list">
      <formula1>"Yes,No,Pending"</formula1>
    </dataValidation>
    <dataValidation sqref="H2:H1000" showDropDown="0" showInputMessage="0" showErrorMessage="0" allowBlank="1" type="list">
      <formula1>"Applied,Screening,Interview,Offer,Rejected,Withdrawn,On Hold"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8" customWidth="1" min="4" max="4"/>
    <col width="14" customWidth="1" min="5" max="5"/>
    <col width="12" customWidth="1" min="6" max="6"/>
    <col width="14" customWidth="1" min="7" max="7"/>
    <col width="26" customWidth="1" min="8" max="8"/>
    <col width="36" customWidth="1" min="9" max="9"/>
  </cols>
  <sheetData>
    <row r="1">
      <c r="A1" s="3" t="inlineStr">
        <is>
          <t>Date</t>
        </is>
      </c>
      <c r="B1" s="3" t="inlineStr">
        <is>
          <t>Topic</t>
        </is>
      </c>
      <c r="C1" s="3" t="inlineStr">
        <is>
          <t>Subtopic</t>
        </is>
      </c>
      <c r="D1" s="3" t="inlineStr">
        <is>
          <t>Hours</t>
        </is>
      </c>
      <c r="E1" s="3" t="inlineStr">
        <is>
          <t>Confidence (1-5)</t>
        </is>
      </c>
      <c r="F1" s="3" t="inlineStr">
        <is>
          <t>SQL Solved</t>
        </is>
      </c>
      <c r="G1" s="3" t="inlineStr">
        <is>
          <t>PySpark Solved</t>
        </is>
      </c>
      <c r="H1" s="3" t="inlineStr">
        <is>
          <t>Resources</t>
        </is>
      </c>
      <c r="I1" s="3" t="inlineStr">
        <is>
          <t>Notes / Gaps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dataValidations count="2">
    <dataValidation sqref="B2:B1000" showDropDown="0" showInputMessage="0" showErrorMessage="0" allowBlank="1" type="list">
      <formula1>"PySpark,SQL,Snowflake,BigQuery,Airflow,Kafka,Delta Lake,Databricks,Azure,GCP,System Design,GenAI/Agents,RAG,LangGraph,MCP,Behavioral,DDIA,Other"</formula1>
    </dataValidation>
    <dataValidation sqref="E2:E1000" showDropDown="0" showInputMessage="0" showErrorMessage="0" allowBlank="1" type="list">
      <formula1>"1,2,3,4,5"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30" customWidth="1" min="5" max="5"/>
    <col width="30" customWidth="1" min="6" max="6"/>
    <col width="40" customWidth="1" min="7" max="7"/>
  </cols>
  <sheetData>
    <row r="1">
      <c r="A1" s="3" t="inlineStr">
        <is>
          <t>Date</t>
        </is>
      </c>
      <c r="B1" s="3" t="inlineStr">
        <is>
          <t>Type</t>
        </is>
      </c>
      <c r="C1" s="3" t="inlineStr">
        <is>
          <t>Platform/Partner</t>
        </is>
      </c>
      <c r="D1" s="3" t="inlineStr">
        <is>
          <t>Score (1-5)</t>
        </is>
      </c>
      <c r="E1" s="3" t="inlineStr">
        <is>
          <t>Strengths</t>
        </is>
      </c>
      <c r="F1" s="3" t="inlineStr">
        <is>
          <t>Weak Areas</t>
        </is>
      </c>
      <c r="G1" s="3" t="inlineStr">
        <is>
          <t>Action Items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ataValidations count="1">
    <dataValidation sqref="B2:B1000" showDropDown="0" showInputMessage="0" showErrorMessage="0" allowBlank="1" type="list">
      <formula1>"PySpark,SQL,System Design,GenAI/Agents,Behavioral,Full Loop"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0" customWidth="1" min="3" max="3"/>
    <col width="12" customWidth="1" min="4" max="4"/>
    <col width="14" customWidth="1" min="5" max="5"/>
    <col width="30" customWidth="1" min="6" max="6"/>
    <col width="28" customWidth="1" min="7" max="7"/>
  </cols>
  <sheetData>
    <row r="1">
      <c r="A1" s="3" t="inlineStr">
        <is>
          <t>Project</t>
        </is>
      </c>
      <c r="B1" s="3" t="inlineStr">
        <is>
          <t>Milestone / Task</t>
        </is>
      </c>
      <c r="C1" s="3" t="inlineStr">
        <is>
          <t>Owner</t>
        </is>
      </c>
      <c r="D1" s="3" t="inlineStr">
        <is>
          <t>Due Date</t>
        </is>
      </c>
      <c r="E1" s="3" t="inlineStr">
        <is>
          <t>Status</t>
        </is>
      </c>
      <c r="F1" s="3" t="inlineStr">
        <is>
          <t>GitHub URL</t>
        </is>
      </c>
      <c r="G1" s="3" t="inlineStr">
        <is>
          <t>Notes</t>
        </is>
      </c>
    </row>
    <row r="2">
      <c r="A2" t="inlineStr">
        <is>
          <t>Agentic RAG Assistant</t>
        </is>
      </c>
      <c r="B2" t="inlineStr">
        <is>
          <t>Repo + FastAPI + Docker scaffolding</t>
        </is>
      </c>
      <c r="C2" t="inlineStr">
        <is>
          <t>Self</t>
        </is>
      </c>
      <c r="D2" t="inlineStr"/>
      <c r="E2" t="inlineStr">
        <is>
          <t>Not Started</t>
        </is>
      </c>
      <c r="F2" t="inlineStr"/>
      <c r="G2" t="inlineStr"/>
    </row>
    <row r="3">
      <c r="A3" t="inlineStr">
        <is>
          <t>Agentic RAG Assistant</t>
        </is>
      </c>
      <c r="B3" t="inlineStr">
        <is>
          <t>Ingestion + embeddings (pgvector)</t>
        </is>
      </c>
      <c r="C3" t="inlineStr">
        <is>
          <t>Self</t>
        </is>
      </c>
      <c r="D3" t="inlineStr"/>
      <c r="E3" t="inlineStr">
        <is>
          <t>Not Started</t>
        </is>
      </c>
      <c r="F3" t="inlineStr"/>
      <c r="G3" t="inlineStr"/>
    </row>
    <row r="4">
      <c r="A4" t="inlineStr">
        <is>
          <t>Agentic RAG Assistant</t>
        </is>
      </c>
      <c r="B4" t="inlineStr">
        <is>
          <t>LangGraph retrieval graph</t>
        </is>
      </c>
      <c r="C4" t="inlineStr">
        <is>
          <t>Self</t>
        </is>
      </c>
      <c r="D4" t="inlineStr"/>
      <c r="E4" t="inlineStr">
        <is>
          <t>Not Started</t>
        </is>
      </c>
      <c r="F4" t="inlineStr"/>
      <c r="G4" t="inlineStr"/>
    </row>
    <row r="5">
      <c r="A5" t="inlineStr">
        <is>
          <t>Agentic RAG Assistant</t>
        </is>
      </c>
      <c r="B5" t="inlineStr">
        <is>
          <t>SQL tool integration</t>
        </is>
      </c>
      <c r="C5" t="inlineStr">
        <is>
          <t>Self</t>
        </is>
      </c>
      <c r="D5" t="inlineStr"/>
      <c r="E5" t="inlineStr">
        <is>
          <t>Not Started</t>
        </is>
      </c>
      <c r="F5" t="inlineStr"/>
      <c r="G5" t="inlineStr"/>
    </row>
    <row r="6">
      <c r="A6" t="inlineStr">
        <is>
          <t>Agentic RAG Assistant</t>
        </is>
      </c>
      <c r="B6" t="inlineStr">
        <is>
          <t>LangSmith tracing + RAGAS evals</t>
        </is>
      </c>
      <c r="C6" t="inlineStr">
        <is>
          <t>Self</t>
        </is>
      </c>
      <c r="D6" t="inlineStr"/>
      <c r="E6" t="inlineStr">
        <is>
          <t>Not Started</t>
        </is>
      </c>
      <c r="F6" t="inlineStr"/>
      <c r="G6" t="inlineStr"/>
    </row>
    <row r="7">
      <c r="A7" t="inlineStr">
        <is>
          <t>Agentic RAG Assistant</t>
        </is>
      </c>
      <c r="B7" t="inlineStr">
        <is>
          <t>README + architecture diagram + demo</t>
        </is>
      </c>
      <c r="C7" t="inlineStr">
        <is>
          <t>Self</t>
        </is>
      </c>
      <c r="D7" t="inlineStr"/>
      <c r="E7" t="inlineStr">
        <is>
          <t>Not Started</t>
        </is>
      </c>
      <c r="F7" t="inlineStr"/>
      <c r="G7" t="inlineStr"/>
    </row>
    <row r="8">
      <c r="A8" t="inlineStr">
        <is>
          <t>Self-Healing Pipeline Agent</t>
        </is>
      </c>
      <c r="B8" t="inlineStr">
        <is>
          <t>Airflow REST poller</t>
        </is>
      </c>
      <c r="C8" t="inlineStr">
        <is>
          <t>Self</t>
        </is>
      </c>
      <c r="D8" t="inlineStr"/>
      <c r="E8" t="inlineStr">
        <is>
          <t>Not Started</t>
        </is>
      </c>
      <c r="F8" t="inlineStr"/>
      <c r="G8" t="inlineStr"/>
    </row>
    <row r="9">
      <c r="A9" t="inlineStr">
        <is>
          <t>Self-Healing Pipeline Agent</t>
        </is>
      </c>
      <c r="B9" t="inlineStr">
        <is>
          <t>Log fetch + classify tools</t>
        </is>
      </c>
      <c r="C9" t="inlineStr">
        <is>
          <t>Self</t>
        </is>
      </c>
      <c r="D9" t="inlineStr"/>
      <c r="E9" t="inlineStr">
        <is>
          <t>Not Started</t>
        </is>
      </c>
      <c r="F9" t="inlineStr"/>
      <c r="G9" t="inlineStr"/>
    </row>
    <row r="10">
      <c r="A10" t="inlineStr">
        <is>
          <t>Self-Healing Pipeline Agent</t>
        </is>
      </c>
      <c r="B10" t="inlineStr">
        <is>
          <t>Runbook search + Jira (mocked) tool</t>
        </is>
      </c>
      <c r="C10" t="inlineStr">
        <is>
          <t>Self</t>
        </is>
      </c>
      <c r="D10" t="inlineStr"/>
      <c r="E10" t="inlineStr">
        <is>
          <t>Not Started</t>
        </is>
      </c>
      <c r="F10" t="inlineStr"/>
      <c r="G10" t="inlineStr"/>
    </row>
    <row r="11">
      <c r="A11" t="inlineStr">
        <is>
          <t>Self-Healing Pipeline Agent</t>
        </is>
      </c>
      <c r="B11" t="inlineStr">
        <is>
          <t>LangGraph stateful agent</t>
        </is>
      </c>
      <c r="C11" t="inlineStr">
        <is>
          <t>Self</t>
        </is>
      </c>
      <c r="D11" t="inlineStr"/>
      <c r="E11" t="inlineStr">
        <is>
          <t>Not Started</t>
        </is>
      </c>
      <c r="F11" t="inlineStr"/>
      <c r="G11" t="inlineStr"/>
    </row>
    <row r="12">
      <c r="A12" t="inlineStr">
        <is>
          <t>Self-Healing Pipeline Agent</t>
        </is>
      </c>
      <c r="B12" t="inlineStr">
        <is>
          <t>Eval suite (10 scenarios)</t>
        </is>
      </c>
      <c r="C12" t="inlineStr">
        <is>
          <t>Self</t>
        </is>
      </c>
      <c r="D12" t="inlineStr"/>
      <c r="E12" t="inlineStr">
        <is>
          <t>Not Started</t>
        </is>
      </c>
      <c r="F12" t="inlineStr"/>
      <c r="G12" t="inlineStr"/>
    </row>
    <row r="13">
      <c r="A13" t="inlineStr">
        <is>
          <t>Self-Healing Pipeline Agent</t>
        </is>
      </c>
      <c r="B13" t="inlineStr">
        <is>
          <t>Loom demo + README + diagram</t>
        </is>
      </c>
      <c r="C13" t="inlineStr">
        <is>
          <t>Self</t>
        </is>
      </c>
      <c r="D13" t="inlineStr"/>
      <c r="E13" t="inlineStr">
        <is>
          <t>Not Started</t>
        </is>
      </c>
      <c r="F13" t="inlineStr"/>
      <c r="G13" t="inlineStr"/>
    </row>
    <row r="14">
      <c r="A14" t="inlineStr">
        <is>
          <t>MCP Mini Server</t>
        </is>
      </c>
      <c r="B14" t="inlineStr">
        <is>
          <t>Build minimal MCP server with 1 tool</t>
        </is>
      </c>
      <c r="C14" t="inlineStr">
        <is>
          <t>Self</t>
        </is>
      </c>
      <c r="D14" t="inlineStr"/>
      <c r="E14" t="inlineStr">
        <is>
          <t>Not Started</t>
        </is>
      </c>
      <c r="F14" t="inlineStr"/>
      <c r="G14" t="inlineStr"/>
    </row>
  </sheetData>
  <conditionalFormatting sqref="E2:E10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E2:E10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50" customWidth="1" min="4" max="4"/>
    <col width="14" customWidth="1" min="5" max="5"/>
    <col width="14" customWidth="1" min="6" max="6"/>
  </cols>
  <sheetData>
    <row r="1">
      <c r="A1" s="3" t="inlineStr">
        <is>
          <t>Topic</t>
        </is>
      </c>
      <c r="B1" s="3" t="inlineStr">
        <is>
          <t>Question</t>
        </is>
      </c>
      <c r="C1" s="3" t="inlineStr">
        <is>
          <t>Difficulty</t>
        </is>
      </c>
      <c r="D1" s="3" t="inlineStr">
        <is>
          <t>My Answer / Key Points</t>
        </is>
      </c>
      <c r="E1" s="3" t="inlineStr">
        <is>
          <t>Confidence (1-5)</t>
        </is>
      </c>
      <c r="F1" s="3" t="inlineStr">
        <is>
          <t>Last Revised</t>
        </is>
      </c>
    </row>
    <row r="2">
      <c r="A2" t="inlineStr">
        <is>
          <t>PySpark</t>
        </is>
      </c>
      <c r="B2" t="inlineStr">
        <is>
          <t>Explain Spark architecture (Driver, Executor, DAG, Stages, Tasks)</t>
        </is>
      </c>
      <c r="C2" t="inlineStr">
        <is>
          <t>Easy</t>
        </is>
      </c>
      <c r="D2" t="inlineStr"/>
      <c r="E2" t="inlineStr"/>
      <c r="F2" t="inlineStr"/>
    </row>
    <row r="3">
      <c r="A3" t="inlineStr">
        <is>
          <t>PySpark</t>
        </is>
      </c>
      <c r="B3" t="inlineStr">
        <is>
          <t>RDD vs DataFrame vs Dataset</t>
        </is>
      </c>
      <c r="C3" t="inlineStr">
        <is>
          <t>Easy</t>
        </is>
      </c>
      <c r="D3" t="inlineStr"/>
      <c r="E3" t="inlineStr"/>
      <c r="F3" t="inlineStr"/>
    </row>
    <row r="4">
      <c r="A4" t="inlineStr">
        <is>
          <t>PySpark</t>
        </is>
      </c>
      <c r="B4" t="inlineStr">
        <is>
          <t>repartition vs coalesce - when to use each</t>
        </is>
      </c>
      <c r="C4" t="inlineStr">
        <is>
          <t>Easy</t>
        </is>
      </c>
      <c r="D4" t="inlineStr"/>
      <c r="E4" t="inlineStr"/>
      <c r="F4" t="inlineStr"/>
    </row>
    <row r="5">
      <c r="A5" t="inlineStr">
        <is>
          <t>PySpark</t>
        </is>
      </c>
      <c r="B5" t="inlineStr">
        <is>
          <t>Broadcast join vs sort-merge vs shuffle hash - selection criteria</t>
        </is>
      </c>
      <c r="C5" t="inlineStr">
        <is>
          <t>Medium</t>
        </is>
      </c>
      <c r="D5" t="inlineStr"/>
      <c r="E5" t="inlineStr"/>
      <c r="F5" t="inlineStr"/>
    </row>
    <row r="6">
      <c r="A6" t="inlineStr">
        <is>
          <t>PySpark</t>
        </is>
      </c>
      <c r="B6" t="inlineStr">
        <is>
          <t>How do you handle data skew on a 1 TB join?</t>
        </is>
      </c>
      <c r="C6" t="inlineStr">
        <is>
          <t>Hard</t>
        </is>
      </c>
      <c r="D6" t="inlineStr"/>
      <c r="E6" t="inlineStr"/>
      <c r="F6" t="inlineStr"/>
    </row>
    <row r="7">
      <c r="A7" t="inlineStr">
        <is>
          <t>PySpark</t>
        </is>
      </c>
      <c r="B7" t="inlineStr">
        <is>
          <t>Catalyst optimizer phases - walk through</t>
        </is>
      </c>
      <c r="C7" t="inlineStr">
        <is>
          <t>Medium</t>
        </is>
      </c>
      <c r="D7" t="inlineStr"/>
      <c r="E7" t="inlineStr"/>
      <c r="F7" t="inlineStr"/>
    </row>
    <row r="8">
      <c r="A8" t="inlineStr">
        <is>
          <t>PySpark</t>
        </is>
      </c>
      <c r="B8" t="inlineStr">
        <is>
          <t>Adaptive Query Execution - what does it solve and configs</t>
        </is>
      </c>
      <c r="C8" t="inlineStr">
        <is>
          <t>Medium</t>
        </is>
      </c>
      <c r="D8" t="inlineStr"/>
      <c r="E8" t="inlineStr"/>
      <c r="F8" t="inlineStr"/>
    </row>
    <row r="9">
      <c r="A9" t="inlineStr">
        <is>
          <t>PySpark</t>
        </is>
      </c>
      <c r="B9" t="inlineStr">
        <is>
          <t>cache() vs persist() - storage levels and trade-offs</t>
        </is>
      </c>
      <c r="C9" t="inlineStr">
        <is>
          <t>Easy</t>
        </is>
      </c>
      <c r="D9" t="inlineStr"/>
      <c r="E9" t="inlineStr"/>
      <c r="F9" t="inlineStr"/>
    </row>
    <row r="10">
      <c r="A10" t="inlineStr">
        <is>
          <t>PySpark</t>
        </is>
      </c>
      <c r="B10" t="inlineStr">
        <is>
          <t>Diagnose a slow Spark job from the Spark UI</t>
        </is>
      </c>
      <c r="C10" t="inlineStr">
        <is>
          <t>Hard</t>
        </is>
      </c>
      <c r="D10" t="inlineStr"/>
      <c r="E10" t="inlineStr"/>
      <c r="F10" t="inlineStr"/>
    </row>
    <row r="11">
      <c r="A11" t="inlineStr">
        <is>
          <t>PySpark</t>
        </is>
      </c>
      <c r="B11" t="inlineStr">
        <is>
          <t>Implement SCD Type 2 in PySpark on Delta</t>
        </is>
      </c>
      <c r="C11" t="inlineStr">
        <is>
          <t>Hard</t>
        </is>
      </c>
      <c r="D11" t="inlineStr"/>
      <c r="E11" t="inlineStr"/>
      <c r="F11" t="inlineStr"/>
    </row>
    <row r="12">
      <c r="A12" t="inlineStr">
        <is>
          <t>PySpark</t>
        </is>
      </c>
      <c r="B12" t="inlineStr">
        <is>
          <t>Structured Streaming: watermarks, output modes, exactly-once</t>
        </is>
      </c>
      <c r="C12" t="inlineStr">
        <is>
          <t>Medium</t>
        </is>
      </c>
      <c r="D12" t="inlineStr"/>
      <c r="E12" t="inlineStr"/>
      <c r="F12" t="inlineStr"/>
    </row>
    <row r="13">
      <c r="A13" t="inlineStr">
        <is>
          <t>SQL</t>
        </is>
      </c>
      <c r="B13" t="inlineStr">
        <is>
          <t>2nd highest salary per department</t>
        </is>
      </c>
      <c r="C13" t="inlineStr">
        <is>
          <t>Easy</t>
        </is>
      </c>
      <c r="D13" t="inlineStr"/>
      <c r="E13" t="inlineStr"/>
      <c r="F13" t="inlineStr"/>
    </row>
    <row r="14">
      <c r="A14" t="inlineStr">
        <is>
          <t>SQL</t>
        </is>
      </c>
      <c r="B14" t="inlineStr">
        <is>
          <t>Users active 3+ consecutive days</t>
        </is>
      </c>
      <c r="C14" t="inlineStr">
        <is>
          <t>Medium</t>
        </is>
      </c>
      <c r="D14" t="inlineStr"/>
      <c r="E14" t="inlineStr"/>
      <c r="F14" t="inlineStr"/>
    </row>
    <row r="15">
      <c r="A15" t="inlineStr">
        <is>
          <t>SQL</t>
        </is>
      </c>
      <c r="B15" t="inlineStr">
        <is>
          <t>7-day moving average of revenue</t>
        </is>
      </c>
      <c r="C15" t="inlineStr">
        <is>
          <t>Medium</t>
        </is>
      </c>
      <c r="D15" t="inlineStr"/>
      <c r="E15" t="inlineStr"/>
      <c r="F15" t="inlineStr"/>
    </row>
    <row r="16">
      <c r="A16" t="inlineStr">
        <is>
          <t>SQL</t>
        </is>
      </c>
      <c r="B16" t="inlineStr">
        <is>
          <t>Sessionize events with 30-min inactivity gap</t>
        </is>
      </c>
      <c r="C16" t="inlineStr">
        <is>
          <t>Hard</t>
        </is>
      </c>
      <c r="D16" t="inlineStr"/>
      <c r="E16" t="inlineStr"/>
      <c r="F16" t="inlineStr"/>
    </row>
    <row r="17">
      <c r="A17" t="inlineStr">
        <is>
          <t>SQL</t>
        </is>
      </c>
      <c r="B17" t="inlineStr">
        <is>
          <t>Median order value per customer</t>
        </is>
      </c>
      <c r="C17" t="inlineStr">
        <is>
          <t>Medium</t>
        </is>
      </c>
      <c r="D17" t="inlineStr"/>
      <c r="E17" t="inlineStr"/>
      <c r="F17" t="inlineStr"/>
    </row>
    <row r="18">
      <c r="A18" t="inlineStr">
        <is>
          <t>SQL</t>
        </is>
      </c>
      <c r="B18" t="inlineStr">
        <is>
          <t>Detect duplicates ignoring case</t>
        </is>
      </c>
      <c r="C18" t="inlineStr">
        <is>
          <t>Easy</t>
        </is>
      </c>
      <c r="D18" t="inlineStr"/>
      <c r="E18" t="inlineStr"/>
      <c r="F18" t="inlineStr"/>
    </row>
    <row r="19">
      <c r="A19" t="inlineStr">
        <is>
          <t>SQL</t>
        </is>
      </c>
      <c r="B19" t="inlineStr">
        <is>
          <t>Pivot without PIVOT keyword</t>
        </is>
      </c>
      <c r="C19" t="inlineStr">
        <is>
          <t>Medium</t>
        </is>
      </c>
      <c r="D19" t="inlineStr"/>
      <c r="E19" t="inlineStr"/>
      <c r="F19" t="inlineStr"/>
    </row>
    <row r="20">
      <c r="A20" t="inlineStr">
        <is>
          <t>Snowflake</t>
        </is>
      </c>
      <c r="B20" t="inlineStr">
        <is>
          <t>What is a micro-partition? How does clustering work?</t>
        </is>
      </c>
      <c r="C20" t="inlineStr">
        <is>
          <t>Medium</t>
        </is>
      </c>
      <c r="D20" t="inlineStr"/>
      <c r="E20" t="inlineStr"/>
      <c r="F20" t="inlineStr"/>
    </row>
    <row r="21">
      <c r="A21" t="inlineStr">
        <is>
          <t>Snowflake</t>
        </is>
      </c>
      <c r="B21" t="inlineStr">
        <is>
          <t>Streams vs Tasks; Snowpipe vs COPY</t>
        </is>
      </c>
      <c r="C21" t="inlineStr">
        <is>
          <t>Medium</t>
        </is>
      </c>
      <c r="D21" t="inlineStr"/>
      <c r="E21" t="inlineStr"/>
      <c r="F21" t="inlineStr"/>
    </row>
    <row r="22">
      <c r="A22" t="inlineStr">
        <is>
          <t>Snowflake</t>
        </is>
      </c>
      <c r="B22" t="inlineStr">
        <is>
          <t>Cost control: warehouse sizing, auto-suspend, resource monitors</t>
        </is>
      </c>
      <c r="C22" t="inlineStr">
        <is>
          <t>Medium</t>
        </is>
      </c>
      <c r="D22" t="inlineStr"/>
      <c r="E22" t="inlineStr"/>
      <c r="F22" t="inlineStr"/>
    </row>
    <row r="23">
      <c r="A23" t="inlineStr">
        <is>
          <t>Snowflake</t>
        </is>
      </c>
      <c r="B23" t="inlineStr">
        <is>
          <t>Time Travel vs Fail-safe; Zero-copy clone internals</t>
        </is>
      </c>
      <c r="C23" t="inlineStr">
        <is>
          <t>Medium</t>
        </is>
      </c>
      <c r="D23" t="inlineStr"/>
      <c r="E23" t="inlineStr"/>
      <c r="F23" t="inlineStr"/>
    </row>
    <row r="24">
      <c r="A24" t="inlineStr">
        <is>
          <t>BigQuery</t>
        </is>
      </c>
      <c r="B24" t="inlineStr">
        <is>
          <t>Partitioning vs clustering - combine them?</t>
        </is>
      </c>
      <c r="C24" t="inlineStr">
        <is>
          <t>Medium</t>
        </is>
      </c>
      <c r="D24" t="inlineStr"/>
      <c r="E24" t="inlineStr"/>
      <c r="F24" t="inlineStr"/>
    </row>
    <row r="25">
      <c r="A25" t="inlineStr">
        <is>
          <t>BigQuery</t>
        </is>
      </c>
      <c r="B25" t="inlineStr">
        <is>
          <t>Slot reservation vs on-demand pricing</t>
        </is>
      </c>
      <c r="C25" t="inlineStr">
        <is>
          <t>Medium</t>
        </is>
      </c>
      <c r="D25" t="inlineStr"/>
      <c r="E25" t="inlineStr"/>
      <c r="F25" t="inlineStr"/>
    </row>
    <row r="26">
      <c r="A26" t="inlineStr">
        <is>
          <t>BigQuery</t>
        </is>
      </c>
      <c r="B26" t="inlineStr">
        <is>
          <t>How does BigQuery shuffle work?</t>
        </is>
      </c>
      <c r="C26" t="inlineStr">
        <is>
          <t>Hard</t>
        </is>
      </c>
      <c r="D26" t="inlineStr"/>
      <c r="E26" t="inlineStr"/>
      <c r="F26" t="inlineStr"/>
    </row>
    <row r="27">
      <c r="A27" t="inlineStr">
        <is>
          <t>Airflow</t>
        </is>
      </c>
      <c r="B27" t="inlineStr">
        <is>
          <t>How to make a DAG idempotent?</t>
        </is>
      </c>
      <c r="C27" t="inlineStr">
        <is>
          <t>Medium</t>
        </is>
      </c>
      <c r="D27" t="inlineStr"/>
      <c r="E27" t="inlineStr"/>
      <c r="F27" t="inlineStr"/>
    </row>
    <row r="28">
      <c r="A28" t="inlineStr">
        <is>
          <t>Airflow</t>
        </is>
      </c>
      <c r="B28" t="inlineStr">
        <is>
          <t>XCom - when NOT to use it</t>
        </is>
      </c>
      <c r="C28" t="inlineStr">
        <is>
          <t>Easy</t>
        </is>
      </c>
      <c r="D28" t="inlineStr"/>
      <c r="E28" t="inlineStr"/>
      <c r="F28" t="inlineStr"/>
    </row>
    <row r="29">
      <c r="A29" t="inlineStr">
        <is>
          <t>Airflow</t>
        </is>
      </c>
      <c r="B29" t="inlineStr">
        <is>
          <t>Backfill a DAG safely</t>
        </is>
      </c>
      <c r="C29" t="inlineStr">
        <is>
          <t>Medium</t>
        </is>
      </c>
      <c r="D29" t="inlineStr"/>
      <c r="E29" t="inlineStr"/>
      <c r="F29" t="inlineStr"/>
    </row>
    <row r="30">
      <c r="A30" t="inlineStr">
        <is>
          <t>Airflow</t>
        </is>
      </c>
      <c r="B30" t="inlineStr">
        <is>
          <t>Dynamic task mapping vs SubDAGs vs TaskGroups</t>
        </is>
      </c>
      <c r="C30" t="inlineStr">
        <is>
          <t>Medium</t>
        </is>
      </c>
      <c r="D30" t="inlineStr"/>
      <c r="E30" t="inlineStr"/>
      <c r="F30" t="inlineStr"/>
    </row>
    <row r="31">
      <c r="A31" t="inlineStr">
        <is>
          <t>Airflow</t>
        </is>
      </c>
      <c r="B31" t="inlineStr">
        <is>
          <t>Debug scheduler lag</t>
        </is>
      </c>
      <c r="C31" t="inlineStr">
        <is>
          <t>Hard</t>
        </is>
      </c>
      <c r="D31" t="inlineStr"/>
      <c r="E31" t="inlineStr"/>
      <c r="F31" t="inlineStr"/>
    </row>
    <row r="32">
      <c r="A32" t="inlineStr">
        <is>
          <t>Airflow</t>
        </is>
      </c>
      <c r="B32" t="inlineStr">
        <is>
          <t>KubernetesExecutor vs CeleryExecutor</t>
        </is>
      </c>
      <c r="C32" t="inlineStr">
        <is>
          <t>Medium</t>
        </is>
      </c>
      <c r="D32" t="inlineStr"/>
      <c r="E32" t="inlineStr"/>
      <c r="F32" t="inlineStr"/>
    </row>
    <row r="33">
      <c r="A33" t="inlineStr">
        <is>
          <t>System Design</t>
        </is>
      </c>
      <c r="B33" t="inlineStr">
        <is>
          <t>Design a real-time fraud detection pipeline (&lt;1s latency)</t>
        </is>
      </c>
      <c r="C33" t="inlineStr">
        <is>
          <t>Hard</t>
        </is>
      </c>
      <c r="D33" t="inlineStr"/>
      <c r="E33" t="inlineStr"/>
      <c r="F33" t="inlineStr"/>
    </row>
    <row r="34">
      <c r="A34" t="inlineStr">
        <is>
          <t>System Design</t>
        </is>
      </c>
      <c r="B34" t="inlineStr">
        <is>
          <t>Design a multi-tenant RAG platform for 50 enterprises</t>
        </is>
      </c>
      <c r="C34" t="inlineStr">
        <is>
          <t>Hard</t>
        </is>
      </c>
      <c r="D34" t="inlineStr"/>
      <c r="E34" t="inlineStr"/>
      <c r="F34" t="inlineStr"/>
    </row>
    <row r="35">
      <c r="A35" t="inlineStr">
        <is>
          <t>System Design</t>
        </is>
      </c>
      <c r="B35" t="inlineStr">
        <is>
          <t>Design CDC from 100 source DBs to a warehouse</t>
        </is>
      </c>
      <c r="C35" t="inlineStr">
        <is>
          <t>Hard</t>
        </is>
      </c>
      <c r="D35" t="inlineStr"/>
      <c r="E35" t="inlineStr"/>
      <c r="F35" t="inlineStr"/>
    </row>
    <row r="36">
      <c r="A36" t="inlineStr">
        <is>
          <t>System Design</t>
        </is>
      </c>
      <c r="B36" t="inlineStr">
        <is>
          <t>Design lakehouse for 10 TB/day retail ingest, 500 analysts</t>
        </is>
      </c>
      <c r="C36" t="inlineStr">
        <is>
          <t>Hard</t>
        </is>
      </c>
      <c r="D36" t="inlineStr"/>
      <c r="E36" t="inlineStr"/>
      <c r="F36" t="inlineStr"/>
    </row>
    <row r="37">
      <c r="A37" t="inlineStr">
        <is>
          <t>System Design</t>
        </is>
      </c>
      <c r="B37" t="inlineStr">
        <is>
          <t>Cost-optimize a $50K/month Databricks workload</t>
        </is>
      </c>
      <c r="C37" t="inlineStr">
        <is>
          <t>Medium</t>
        </is>
      </c>
      <c r="D37" t="inlineStr"/>
      <c r="E37" t="inlineStr"/>
      <c r="F37" t="inlineStr"/>
    </row>
    <row r="38">
      <c r="A38" t="inlineStr">
        <is>
          <t>GenAI/Agents</t>
        </is>
      </c>
      <c r="B38" t="inlineStr">
        <is>
          <t>Walk through your Agentic RAG architecture end-to-end</t>
        </is>
      </c>
      <c r="C38" t="inlineStr">
        <is>
          <t>Medium</t>
        </is>
      </c>
      <c r="D38" t="inlineStr"/>
      <c r="E38" t="inlineStr"/>
      <c r="F38" t="inlineStr"/>
    </row>
    <row r="39">
      <c r="A39" t="inlineStr">
        <is>
          <t>GenAI/Agents</t>
        </is>
      </c>
      <c r="B39" t="inlineStr">
        <is>
          <t>How did you choose chunk size and embedding model?</t>
        </is>
      </c>
      <c r="C39" t="inlineStr">
        <is>
          <t>Medium</t>
        </is>
      </c>
      <c r="D39" t="inlineStr"/>
      <c r="E39" t="inlineStr"/>
      <c r="F39" t="inlineStr"/>
    </row>
    <row r="40">
      <c r="A40" t="inlineStr">
        <is>
          <t>GenAI/Agents</t>
        </is>
      </c>
      <c r="B40" t="inlineStr">
        <is>
          <t>RAG evaluation: faithfulness, context precision, RAGAS</t>
        </is>
      </c>
      <c r="C40" t="inlineStr">
        <is>
          <t>Medium</t>
        </is>
      </c>
      <c r="D40" t="inlineStr"/>
      <c r="E40" t="inlineStr"/>
      <c r="F40" t="inlineStr"/>
    </row>
    <row r="41">
      <c r="A41" t="inlineStr">
        <is>
          <t>GenAI/Agents</t>
        </is>
      </c>
      <c r="B41" t="inlineStr">
        <is>
          <t>Naive RAG vs Advanced RAG (rerank, query rewriting, HyDE)</t>
        </is>
      </c>
      <c r="C41" t="inlineStr">
        <is>
          <t>Hard</t>
        </is>
      </c>
      <c r="D41" t="inlineStr"/>
      <c r="E41" t="inlineStr"/>
      <c r="F41" t="inlineStr"/>
    </row>
    <row r="42">
      <c r="A42" t="inlineStr">
        <is>
          <t>GenAI/Agents</t>
        </is>
      </c>
      <c r="B42" t="inlineStr">
        <is>
          <t>Why LangGraph over LangChain agents?</t>
        </is>
      </c>
      <c r="C42" t="inlineStr">
        <is>
          <t>Medium</t>
        </is>
      </c>
      <c r="D42" t="inlineStr"/>
      <c r="E42" t="inlineStr"/>
      <c r="F42" t="inlineStr"/>
    </row>
    <row r="43">
      <c r="A43" t="inlineStr">
        <is>
          <t>GenAI/Agents</t>
        </is>
      </c>
      <c r="B43" t="inlineStr">
        <is>
          <t>How do you prevent hallucination?</t>
        </is>
      </c>
      <c r="C43" t="inlineStr">
        <is>
          <t>Medium</t>
        </is>
      </c>
      <c r="D43" t="inlineStr"/>
      <c r="E43" t="inlineStr"/>
      <c r="F43" t="inlineStr"/>
    </row>
    <row r="44">
      <c r="A44" t="inlineStr">
        <is>
          <t>GenAI/Agents</t>
        </is>
      </c>
      <c r="B44" t="inlineStr">
        <is>
          <t>How do you handle PII in prompts?</t>
        </is>
      </c>
      <c r="C44" t="inlineStr">
        <is>
          <t>Medium</t>
        </is>
      </c>
      <c r="D44" t="inlineStr"/>
      <c r="E44" t="inlineStr"/>
      <c r="F44" t="inlineStr"/>
    </row>
    <row r="45">
      <c r="A45" t="inlineStr">
        <is>
          <t>GenAI/Agents</t>
        </is>
      </c>
      <c r="B45" t="inlineStr">
        <is>
          <t>What is MCP and why does it matter?</t>
        </is>
      </c>
      <c r="C45" t="inlineStr">
        <is>
          <t>Medium</t>
        </is>
      </c>
      <c r="D45" t="inlineStr"/>
      <c r="E45" t="inlineStr"/>
      <c r="F45" t="inlineStr"/>
    </row>
    <row r="46">
      <c r="A46" t="inlineStr">
        <is>
          <t>GenAI/Agents</t>
        </is>
      </c>
      <c r="B46" t="inlineStr">
        <is>
          <t>Cost estimate for an agent at 10K queries/day</t>
        </is>
      </c>
      <c r="C46" t="inlineStr">
        <is>
          <t>Hard</t>
        </is>
      </c>
      <c r="D46" t="inlineStr"/>
      <c r="E46" t="inlineStr"/>
      <c r="F46" t="inlineStr"/>
    </row>
    <row r="47">
      <c r="A47" t="inlineStr">
        <is>
          <t>GenAI/Agents</t>
        </is>
      </c>
      <c r="B47" t="inlineStr">
        <is>
          <t>ReAct vs Plan-and-Execute - pick one and justify</t>
        </is>
      </c>
      <c r="C47" t="inlineStr">
        <is>
          <t>Medium</t>
        </is>
      </c>
      <c r="D47" t="inlineStr"/>
      <c r="E47" t="inlineStr"/>
      <c r="F47" t="inlineStr"/>
    </row>
    <row r="48">
      <c r="A48" t="inlineStr">
        <is>
          <t>GenAI/Agents</t>
        </is>
      </c>
      <c r="B48" t="inlineStr">
        <is>
          <t>Build a ReAct loop without a framework</t>
        </is>
      </c>
      <c r="C48" t="inlineStr">
        <is>
          <t>Hard</t>
        </is>
      </c>
      <c r="D48" t="inlineStr"/>
      <c r="E48" t="inlineStr"/>
      <c r="F48" t="inlineStr"/>
    </row>
    <row r="49">
      <c r="A49" t="inlineStr">
        <is>
          <t>Behavioral</t>
        </is>
      </c>
      <c r="B49" t="inlineStr">
        <is>
          <t>Tell me about a time you led against pushback</t>
        </is>
      </c>
      <c r="C49" t="inlineStr">
        <is>
          <t>Medium</t>
        </is>
      </c>
      <c r="D49" t="inlineStr"/>
      <c r="E49" t="inlineStr"/>
      <c r="F49" t="inlineStr"/>
    </row>
    <row r="50">
      <c r="A50" t="inlineStr">
        <is>
          <t>Behavioral</t>
        </is>
      </c>
      <c r="B50" t="inlineStr">
        <is>
          <t>Hardest production incident you handled</t>
        </is>
      </c>
      <c r="C50" t="inlineStr">
        <is>
          <t>Medium</t>
        </is>
      </c>
      <c r="D50" t="inlineStr"/>
      <c r="E50" t="inlineStr"/>
      <c r="F50" t="inlineStr"/>
    </row>
    <row r="51">
      <c r="A51" t="inlineStr">
        <is>
          <t>Behavioral</t>
        </is>
      </c>
      <c r="B51" t="inlineStr">
        <is>
          <t>How do you mentor junior engineers?</t>
        </is>
      </c>
      <c r="C51" t="inlineStr">
        <is>
          <t>Easy</t>
        </is>
      </c>
      <c r="D51" t="inlineStr"/>
      <c r="E51" t="inlineStr"/>
      <c r="F51" t="inlineStr"/>
    </row>
    <row r="52">
      <c r="A52" t="inlineStr">
        <is>
          <t>Behavioral</t>
        </is>
      </c>
      <c r="B52" t="inlineStr">
        <is>
          <t>Walk me through the 20% cost reduction</t>
        </is>
      </c>
      <c r="C52" t="inlineStr">
        <is>
          <t>Medium</t>
        </is>
      </c>
      <c r="D52" t="inlineStr"/>
      <c r="E52" t="inlineStr"/>
      <c r="F52" t="inlineStr"/>
    </row>
    <row r="53">
      <c r="A53" t="inlineStr">
        <is>
          <t>Behavioral</t>
        </is>
      </c>
      <c r="B53" t="inlineStr">
        <is>
          <t>Walk me through the 40% MTTR improvement</t>
        </is>
      </c>
      <c r="C53" t="inlineStr">
        <is>
          <t>Medium</t>
        </is>
      </c>
      <c r="D53" t="inlineStr"/>
      <c r="E53" t="inlineStr"/>
      <c r="F53" t="inlineStr"/>
    </row>
    <row r="54">
      <c r="A54" t="inlineStr">
        <is>
          <t>Behavioral</t>
        </is>
      </c>
      <c r="B54" t="inlineStr">
        <is>
          <t>Disagreement with a manager</t>
        </is>
      </c>
      <c r="C54" t="inlineStr">
        <is>
          <t>Medium</t>
        </is>
      </c>
      <c r="D54" t="inlineStr"/>
      <c r="E54" t="inlineStr"/>
      <c r="F54" t="inlineStr"/>
    </row>
    <row r="55">
      <c r="A55" t="inlineStr">
        <is>
          <t>Behavioral</t>
        </is>
      </c>
      <c r="B55" t="inlineStr">
        <is>
          <t>Why Lead -&gt; next role?</t>
        </is>
      </c>
      <c r="C55" t="inlineStr">
        <is>
          <t>Easy</t>
        </is>
      </c>
      <c r="D55" t="inlineStr"/>
      <c r="E55" t="inlineStr"/>
      <c r="F55" t="inlineStr"/>
    </row>
  </sheetData>
  <conditionalFormatting sqref="E2:E1000">
    <cfRule type="cellIs" priority="1" operator="lessThanOrEqual" dxfId="2">
      <formula>2</formula>
    </cfRule>
    <cfRule type="cellIs" priority="2" operator="equal" dxfId="1">
      <formula>3</formula>
    </cfRule>
    <cfRule type="cellIs" priority="3" operator="greaterThanOrEqual" dxfId="0">
      <formula>4</formula>
    </cfRule>
  </conditionalFormatting>
  <dataValidations count="2">
    <dataValidation sqref="C2:C1000" showDropDown="0" showInputMessage="0" showErrorMessage="0" allowBlank="1" type="list">
      <formula1>"Easy,Medium,Hard"</formula1>
    </dataValidation>
    <dataValidation sqref="E2:E1000" showDropDown="0" showInputMessage="0" showErrorMessage="0" allowBlank="1" type="list">
      <formula1>"1,2,3,4,5"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28" customWidth="1" min="4" max="4"/>
    <col width="24" customWidth="1" min="5" max="5"/>
    <col width="18" customWidth="1" min="6" max="6"/>
  </cols>
  <sheetData>
    <row r="1">
      <c r="A1" s="3" t="inlineStr">
        <is>
          <t>Company</t>
        </is>
      </c>
      <c r="B1" s="3" t="inlineStr">
        <is>
          <t>Tier</t>
        </is>
      </c>
      <c r="C1" s="3" t="inlineStr">
        <is>
          <t>Role Type</t>
        </is>
      </c>
      <c r="D1" s="3" t="inlineStr">
        <is>
          <t>Why It Fits</t>
        </is>
      </c>
      <c r="E1" s="3" t="inlineStr">
        <is>
          <t>Referral Contact</t>
        </is>
      </c>
      <c r="F1" s="3" t="inlineStr">
        <is>
          <t>Status</t>
        </is>
      </c>
    </row>
    <row r="2">
      <c r="A2" t="inlineStr">
        <is>
          <t>Databricks</t>
        </is>
      </c>
      <c r="B2" t="inlineStr">
        <is>
          <t>T1</t>
        </is>
      </c>
      <c r="C2" t="inlineStr">
        <is>
          <t>DE / AI</t>
        </is>
      </c>
      <c r="D2" t="inlineStr">
        <is>
          <t>Spark + AI overlap perfect</t>
        </is>
      </c>
      <c r="E2" t="inlineStr"/>
      <c r="F2" t="inlineStr">
        <is>
          <t>Not Contacted</t>
        </is>
      </c>
    </row>
    <row r="3">
      <c r="A3" t="inlineStr">
        <is>
          <t>Snowflake</t>
        </is>
      </c>
      <c r="B3" t="inlineStr">
        <is>
          <t>T1</t>
        </is>
      </c>
      <c r="C3" t="inlineStr">
        <is>
          <t>DE</t>
        </is>
      </c>
      <c r="D3" t="inlineStr">
        <is>
          <t>Snowflake on resume</t>
        </is>
      </c>
      <c r="E3" t="inlineStr"/>
      <c r="F3" t="inlineStr">
        <is>
          <t>Not Contacted</t>
        </is>
      </c>
    </row>
    <row r="4">
      <c r="A4" t="inlineStr">
        <is>
          <t>Microsoft</t>
        </is>
      </c>
      <c r="B4" t="inlineStr">
        <is>
          <t>T1</t>
        </is>
      </c>
      <c r="C4" t="inlineStr">
        <is>
          <t>DE / AI</t>
        </is>
      </c>
      <c r="D4" t="inlineStr">
        <is>
          <t>Azure + Azure OpenAI</t>
        </is>
      </c>
      <c r="E4" t="inlineStr"/>
      <c r="F4" t="inlineStr">
        <is>
          <t>Not Contacted</t>
        </is>
      </c>
    </row>
    <row r="5">
      <c r="A5" t="inlineStr">
        <is>
          <t>Google</t>
        </is>
      </c>
      <c r="B5" t="inlineStr">
        <is>
          <t>T1</t>
        </is>
      </c>
      <c r="C5" t="inlineStr">
        <is>
          <t>DE / AI</t>
        </is>
      </c>
      <c r="D5" t="inlineStr">
        <is>
          <t>GCP PDE cert</t>
        </is>
      </c>
      <c r="E5" t="inlineStr"/>
      <c r="F5" t="inlineStr">
        <is>
          <t>Not Contacted</t>
        </is>
      </c>
    </row>
    <row r="6">
      <c r="A6" t="inlineStr">
        <is>
          <t>Atlan</t>
        </is>
      </c>
      <c r="B6" t="inlineStr">
        <is>
          <t>T2</t>
        </is>
      </c>
      <c r="C6" t="inlineStr">
        <is>
          <t>DE</t>
        </is>
      </c>
      <c r="D6" t="inlineStr">
        <is>
          <t>Data catalog, hot startup</t>
        </is>
      </c>
      <c r="E6" t="inlineStr"/>
      <c r="F6" t="inlineStr">
        <is>
          <t>Not Contacted</t>
        </is>
      </c>
    </row>
    <row r="7">
      <c r="A7" t="inlineStr">
        <is>
          <t>Fractal</t>
        </is>
      </c>
      <c r="B7" t="inlineStr">
        <is>
          <t>T2</t>
        </is>
      </c>
      <c r="C7" t="inlineStr">
        <is>
          <t>DE / AI</t>
        </is>
      </c>
      <c r="D7" t="inlineStr">
        <is>
          <t>Heavy GenAI investment</t>
        </is>
      </c>
      <c r="E7" t="inlineStr"/>
      <c r="F7" t="inlineStr">
        <is>
          <t>Not Contacted</t>
        </is>
      </c>
    </row>
    <row r="8">
      <c r="A8" t="inlineStr">
        <is>
          <t>Tiger Analytics</t>
        </is>
      </c>
      <c r="B8" t="inlineStr">
        <is>
          <t>T2</t>
        </is>
      </c>
      <c r="C8" t="inlineStr">
        <is>
          <t>DE / AI</t>
        </is>
      </c>
      <c r="D8" t="inlineStr">
        <is>
          <t>Analytics + AI consulting</t>
        </is>
      </c>
      <c r="E8" t="inlineStr"/>
      <c r="F8" t="inlineStr">
        <is>
          <t>Not Contacted</t>
        </is>
      </c>
    </row>
    <row r="9">
      <c r="A9" t="inlineStr">
        <is>
          <t>Tredence</t>
        </is>
      </c>
      <c r="B9" t="inlineStr">
        <is>
          <t>T2</t>
        </is>
      </c>
      <c r="C9" t="inlineStr">
        <is>
          <t>DE / AI</t>
        </is>
      </c>
      <c r="D9" t="inlineStr">
        <is>
          <t>GenAI services growth</t>
        </is>
      </c>
      <c r="E9" t="inlineStr"/>
      <c r="F9" t="inlineStr">
        <is>
          <t>Not Contacted</t>
        </is>
      </c>
    </row>
    <row r="10">
      <c r="A10" t="inlineStr">
        <is>
          <t>MathCo</t>
        </is>
      </c>
      <c r="B10" t="inlineStr">
        <is>
          <t>T2</t>
        </is>
      </c>
      <c r="C10" t="inlineStr">
        <is>
          <t>DE / AI</t>
        </is>
      </c>
      <c r="D10" t="inlineStr">
        <is>
          <t>AI consulting</t>
        </is>
      </c>
      <c r="E10" t="inlineStr"/>
      <c r="F10" t="inlineStr">
        <is>
          <t>Not Contacted</t>
        </is>
      </c>
    </row>
    <row r="11">
      <c r="A11" t="inlineStr">
        <is>
          <t>Razorpay</t>
        </is>
      </c>
      <c r="B11" t="inlineStr">
        <is>
          <t>T2</t>
        </is>
      </c>
      <c r="C11" t="inlineStr">
        <is>
          <t>DE</t>
        </is>
      </c>
      <c r="D11" t="inlineStr">
        <is>
          <t>Fintech scale</t>
        </is>
      </c>
      <c r="E11" t="inlineStr"/>
      <c r="F11" t="inlineStr">
        <is>
          <t>Not Contacted</t>
        </is>
      </c>
    </row>
    <row r="12">
      <c r="A12" t="inlineStr">
        <is>
          <t>PhonePe</t>
        </is>
      </c>
      <c r="B12" t="inlineStr">
        <is>
          <t>T2</t>
        </is>
      </c>
      <c r="C12" t="inlineStr">
        <is>
          <t>DE</t>
        </is>
      </c>
      <c r="D12" t="inlineStr">
        <is>
          <t>Massive scale fintech</t>
        </is>
      </c>
      <c r="E12" t="inlineStr"/>
      <c r="F12" t="inlineStr">
        <is>
          <t>Not Contacted</t>
        </is>
      </c>
    </row>
    <row r="13">
      <c r="A13" t="inlineStr">
        <is>
          <t>Swiggy</t>
        </is>
      </c>
      <c r="B13" t="inlineStr">
        <is>
          <t>T2</t>
        </is>
      </c>
      <c r="C13" t="inlineStr">
        <is>
          <t>DE / AI</t>
        </is>
      </c>
      <c r="D13" t="inlineStr">
        <is>
          <t>Real-time + GenAI use cases</t>
        </is>
      </c>
      <c r="E13" t="inlineStr"/>
      <c r="F13" t="inlineStr">
        <is>
          <t>Not Contacted</t>
        </is>
      </c>
    </row>
    <row r="14">
      <c r="A14" t="inlineStr">
        <is>
          <t>Postman</t>
        </is>
      </c>
      <c r="B14" t="inlineStr">
        <is>
          <t>T2</t>
        </is>
      </c>
      <c r="C14" t="inlineStr">
        <is>
          <t>DE</t>
        </is>
      </c>
      <c r="D14" t="inlineStr">
        <is>
          <t>Strong eng brand</t>
        </is>
      </c>
      <c r="E14" t="inlineStr"/>
      <c r="F14" t="inlineStr">
        <is>
          <t>Not Contacted</t>
        </is>
      </c>
    </row>
    <row r="15">
      <c r="A15" t="inlineStr">
        <is>
          <t>Zomato</t>
        </is>
      </c>
      <c r="B15" t="inlineStr">
        <is>
          <t>T2</t>
        </is>
      </c>
      <c r="C15" t="inlineStr">
        <is>
          <t>DE / AI</t>
        </is>
      </c>
      <c r="D15" t="inlineStr">
        <is>
          <t>Real-time pipelines</t>
        </is>
      </c>
      <c r="E15" t="inlineStr"/>
      <c r="F15" t="inlineStr">
        <is>
          <t>Not Contacted</t>
        </is>
      </c>
    </row>
    <row r="16">
      <c r="A16" t="inlineStr">
        <is>
          <t>Walmart Global Tech</t>
        </is>
      </c>
      <c r="B16" t="inlineStr">
        <is>
          <t>T1</t>
        </is>
      </c>
      <c r="C16" t="inlineStr">
        <is>
          <t>DE</t>
        </is>
      </c>
      <c r="D16" t="inlineStr">
        <is>
          <t>Strong DE org India</t>
        </is>
      </c>
      <c r="E16" t="inlineStr"/>
      <c r="F16" t="inlineStr">
        <is>
          <t>Not Contacted</t>
        </is>
      </c>
    </row>
    <row r="17">
      <c r="A17" t="inlineStr">
        <is>
          <t>Target India</t>
        </is>
      </c>
      <c r="B17" t="inlineStr">
        <is>
          <t>T1</t>
        </is>
      </c>
      <c r="C17" t="inlineStr">
        <is>
          <t>DE</t>
        </is>
      </c>
      <c r="D17" t="inlineStr">
        <is>
          <t>Strong DE org India</t>
        </is>
      </c>
      <c r="E17" t="inlineStr"/>
      <c r="F17" t="inlineStr">
        <is>
          <t>Not Contacted</t>
        </is>
      </c>
    </row>
    <row r="18">
      <c r="A18" t="inlineStr">
        <is>
          <t>ThoughtSpot</t>
        </is>
      </c>
      <c r="B18" t="inlineStr">
        <is>
          <t>T2</t>
        </is>
      </c>
      <c r="C18" t="inlineStr">
        <is>
          <t>DE / AI</t>
        </is>
      </c>
      <c r="D18" t="inlineStr">
        <is>
          <t>AI-first analytics</t>
        </is>
      </c>
      <c r="E18" t="inlineStr"/>
      <c r="F18" t="inlineStr">
        <is>
          <t>Not Contacted</t>
        </is>
      </c>
    </row>
    <row r="19">
      <c r="A19" t="inlineStr">
        <is>
          <t>Sigmoid</t>
        </is>
      </c>
      <c r="B19" t="inlineStr">
        <is>
          <t>T2</t>
        </is>
      </c>
      <c r="C19" t="inlineStr">
        <is>
          <t>DE</t>
        </is>
      </c>
      <c r="D19" t="inlineStr">
        <is>
          <t>Data eng consulting</t>
        </is>
      </c>
      <c r="E19" t="inlineStr"/>
      <c r="F19" t="inlineStr">
        <is>
          <t>Not Contacted</t>
        </is>
      </c>
    </row>
    <row r="20">
      <c r="A20" t="inlineStr">
        <is>
          <t>Brillio</t>
        </is>
      </c>
      <c r="B20" t="inlineStr">
        <is>
          <t>T2</t>
        </is>
      </c>
      <c r="C20" t="inlineStr">
        <is>
          <t>DE / AI</t>
        </is>
      </c>
      <c r="D20" t="inlineStr">
        <is>
          <t>Hiring DE+AI</t>
        </is>
      </c>
      <c r="E20" t="inlineStr"/>
      <c r="F20" t="inlineStr">
        <is>
          <t>Not Contacted</t>
        </is>
      </c>
    </row>
    <row r="21">
      <c r="A21" t="inlineStr">
        <is>
          <t>EXL</t>
        </is>
      </c>
      <c r="B21" t="inlineStr">
        <is>
          <t>T2</t>
        </is>
      </c>
      <c r="C21" t="inlineStr">
        <is>
          <t>DE / AI</t>
        </is>
      </c>
      <c r="D21" t="inlineStr">
        <is>
          <t>Hiring DE+AI</t>
        </is>
      </c>
      <c r="E21" t="inlineStr"/>
      <c r="F21" t="inlineStr">
        <is>
          <t>Not Contacted</t>
        </is>
      </c>
    </row>
  </sheetData>
  <dataValidations count="2">
    <dataValidation sqref="B2:B1000" showDropDown="0" showInputMessage="0" showErrorMessage="0" allowBlank="1" type="list">
      <formula1>"T1,T2,T3"</formula1>
    </dataValidation>
    <dataValidation sqref="F2:F1000" showDropDown="0" showInputMessage="0" showErrorMessage="0" allowBlank="1" type="list">
      <formula1>"Not Contacted,Referral Asked,Applied,Interview,Offer,Rejected"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2026-05-18T05:19:17Z</dcterms:created>
  <dcterms:modified xmlns:dcterms="http://purl.org/dc/terms/" xmlns:xsi="http://www.w3.org/2001/XMLSchema-instance" xsi:type="dcterms:W3CDTF">2026-05-18T05:19:17Z</dcterms:modified>
</cp:coreProperties>
</file>